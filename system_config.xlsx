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ols\flightctrl\"/>
    </mc:Choice>
  </mc:AlternateContent>
  <xr:revisionPtr revIDLastSave="0" documentId="13_ncr:1_{1BA9817F-CE67-4C9D-ACE6-A6E12EDF2452}" xr6:coauthVersionLast="47" xr6:coauthVersionMax="47" xr10:uidLastSave="{00000000-0000-0000-0000-000000000000}"/>
  <bookViews>
    <workbookView xWindow="2688" yWindow="2688" windowWidth="23040" windowHeight="12120" firstSheet="1" activeTab="1" xr2:uid="{CD1C5D75-4DB3-4885-AF42-D9C478C100CB}"/>
  </bookViews>
  <sheets>
    <sheet name="TSC_jira" sheetId="10" r:id="rId1"/>
    <sheet name="projList" sheetId="1" r:id="rId2"/>
    <sheet name="testrail_mapping" sheetId="2" r:id="rId3"/>
    <sheet name="jira_mapping" sheetId="3" r:id="rId4"/>
    <sheet name="mapping_jira_testrail" sheetId="4" r:id="rId5"/>
    <sheet name="projList_CL" sheetId="8" r:id="rId6"/>
    <sheet name="test_suite" sheetId="5" r:id="rId7"/>
    <sheet name="projList_SE" sheetId="6" r:id="rId8"/>
    <sheet name="Backup_202209" sheetId="9" r:id="rId9"/>
    <sheet name="Capability_Development" sheetId="7" r:id="rId10"/>
    <sheet name="TSC_jira Backup0623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2" i="2"/>
</calcChain>
</file>

<file path=xl/sharedStrings.xml><?xml version="1.0" encoding="utf-8"?>
<sst xmlns="http://schemas.openxmlformats.org/spreadsheetml/2006/main" count="726" uniqueCount="179">
  <si>
    <t>jira_System</t>
  </si>
  <si>
    <t>jql</t>
  </si>
  <si>
    <t>tsc_jira_jql</t>
  </si>
  <si>
    <t>project in (CISCOSLC, JFP, ATD, AWA, IRE, GXDRE, WebClaims, 'Schenker Identity Management Service', 'MDMADM', GXD, GXD20R, GXDTSCSDAM, 'Output &amp; Document Management', 
                'SPACE 2.0', S20CTC, RATE, GCT, GE20, AEC, AMSSC, C2MDM) AND created &gt; '2019-01-01' and issuetype in (Defect, Bug, 'Change Request', Demand, Improvement, 'New Feature', 'Remove Feature', Story, 'Technical Improvement', Epic, 'User Story', 'UAT Finding', 'QA Test Finding')</t>
  </si>
  <si>
    <t>gilds_jira_jql</t>
  </si>
  <si>
    <t>project in (LIN, SELS, D4SECM, CUS) and issuetype in ('Bug', 'Defect/Bug', 'Story')</t>
  </si>
  <si>
    <t>itcml_jira_jql</t>
  </si>
  <si>
    <t>project in (CIH, GSF) and issuetype in ('GSF Bug', 'Test Incident', 'Test Incident GLOBAL', 'Incident', 'Priority Incident', 'Change Request', 'Change-Request Issue')</t>
  </si>
  <si>
    <t>tacfit_jira_jql</t>
  </si>
  <si>
    <t>project in (CP) and issuetype in ('Defect', 'Story', 'Change Request')</t>
  </si>
  <si>
    <t>id</t>
  </si>
  <si>
    <t>Active</t>
  </si>
  <si>
    <t>TestRail_refresh</t>
  </si>
  <si>
    <t>jira_id</t>
  </si>
  <si>
    <t>jira_project</t>
  </si>
  <si>
    <t>jira_project_name</t>
  </si>
  <si>
    <t>project_name</t>
  </si>
  <si>
    <t>issuetypes</t>
  </si>
  <si>
    <t>report_start_date</t>
  </si>
  <si>
    <t>topic_id</t>
  </si>
  <si>
    <t>issuesSystem</t>
  </si>
  <si>
    <t>y</t>
  </si>
  <si>
    <t>TSC</t>
  </si>
  <si>
    <t>WebClaims</t>
  </si>
  <si>
    <t>WWWCL</t>
  </si>
  <si>
    <t>AND created &gt; '2019-07-01' and issuetype in (Bug, Epic, 'Change Request', Improvement, 'New Feature', 'Remove Feature', Story)</t>
  </si>
  <si>
    <t>2019-12-31</t>
  </si>
  <si>
    <t>TSCTOPIC-25</t>
  </si>
  <si>
    <t>GILDS</t>
  </si>
  <si>
    <t>LIN</t>
  </si>
  <si>
    <t>LiNeS</t>
  </si>
  <si>
    <t>AND created &gt; '2019-07-01' and issuetype in (Bug, 'Change Request', Demand, Improvement, 'New Feature', 'Remove Feature', Story, 'Technical Improvement')</t>
  </si>
  <si>
    <t>TSCTOPIC-110</t>
  </si>
  <si>
    <t>MDMDEV</t>
  </si>
  <si>
    <t>MDMADM</t>
  </si>
  <si>
    <t>TSCTOPIC-78</t>
  </si>
  <si>
    <t>SIMS</t>
  </si>
  <si>
    <t>Schenker Identity Management Service</t>
  </si>
  <si>
    <t>AND created &gt; '2019-07-01' and issuetype in ( Bug, Demand)</t>
  </si>
  <si>
    <t>TSCTOPIC-11</t>
  </si>
  <si>
    <t>ODM</t>
  </si>
  <si>
    <t>Output &amp; Document Management</t>
  </si>
  <si>
    <t>TSCTOPIC-10</t>
  </si>
  <si>
    <t>GXD</t>
  </si>
  <si>
    <t>GXD - TSC Solution Delivery / Application Maintenance</t>
  </si>
  <si>
    <t>AND created &gt; '2019-07-01' and issuetype in (Defect, 'Change Request', Demand, Improvement, 'New Feature', 'Remove Feature', Story, 'Technical Improvement')</t>
  </si>
  <si>
    <t>TSCTOPIC-12</t>
  </si>
  <si>
    <t>SPAC</t>
  </si>
  <si>
    <t>Space 2.0</t>
  </si>
  <si>
    <t>SPACE 2.0</t>
  </si>
  <si>
    <t>NORDICS</t>
  </si>
  <si>
    <t>CMP</t>
  </si>
  <si>
    <t>COMPASS Maintenance</t>
  </si>
  <si>
    <t>AND created &gt; '2019-07-01' and issuetype in ( Defect, Epic, 'User Story')</t>
  </si>
  <si>
    <t>1</t>
  </si>
  <si>
    <t>n</t>
  </si>
  <si>
    <t>GXD20R</t>
  </si>
  <si>
    <t>GXD 2.0 Revised</t>
  </si>
  <si>
    <t>GXDTSCSDAM</t>
  </si>
  <si>
    <t>TSCTOPIC-14</t>
  </si>
  <si>
    <t>GCT</t>
  </si>
  <si>
    <t>Global Calculation Tool</t>
  </si>
  <si>
    <t>TSCTOPIC-15</t>
  </si>
  <si>
    <t>ATD</t>
  </si>
  <si>
    <t>APAC TMS DBC</t>
  </si>
  <si>
    <t>TSCTOPIC-16</t>
  </si>
  <si>
    <t>AWA</t>
  </si>
  <si>
    <t>Apple WMS - APAC</t>
  </si>
  <si>
    <t>GXDRE</t>
  </si>
  <si>
    <t>GXD Rebuild</t>
  </si>
  <si>
    <t>S20CTC</t>
  </si>
  <si>
    <t>SPACE 2.0 CARE &amp; TEMPLATE Change</t>
  </si>
  <si>
    <t>IRE</t>
  </si>
  <si>
    <t>Global Risk &amp; Insurance Rating Engine</t>
  </si>
  <si>
    <t>CL</t>
  </si>
  <si>
    <t>GSF</t>
  </si>
  <si>
    <t>Global Shop Floor Solutions</t>
  </si>
  <si>
    <t>JFP</t>
  </si>
  <si>
    <t>Japan-Flight Planning</t>
  </si>
  <si>
    <t>AMSSC</t>
  </si>
  <si>
    <t>Americas-SSC</t>
  </si>
  <si>
    <t>AEC</t>
  </si>
  <si>
    <t>APAC eServices Change</t>
  </si>
  <si>
    <t>AECAPI</t>
  </si>
  <si>
    <t>APAC eServices API</t>
  </si>
  <si>
    <t>GE20</t>
  </si>
  <si>
    <t>GPIS eProject 2.0</t>
  </si>
  <si>
    <t>C2MDM</t>
  </si>
  <si>
    <t>Connect2MDM</t>
  </si>
  <si>
    <t>SELS</t>
  </si>
  <si>
    <t>SLS Agile</t>
  </si>
  <si>
    <t>CIH</t>
  </si>
  <si>
    <t>Cisco Houston</t>
  </si>
  <si>
    <t>RATE</t>
  </si>
  <si>
    <t>Rate Cube</t>
  </si>
  <si>
    <t>D4SECM</t>
  </si>
  <si>
    <t>Carrier Manager</t>
  </si>
  <si>
    <t>CP</t>
  </si>
  <si>
    <t>Connect2People</t>
  </si>
  <si>
    <t>CISCOSLC</t>
  </si>
  <si>
    <t>CiscoSLC</t>
  </si>
  <si>
    <t>CUS</t>
  </si>
  <si>
    <t>Customs</t>
  </si>
  <si>
    <t>testrail_map_id</t>
  </si>
  <si>
    <t>testrail_id</t>
  </si>
  <si>
    <t>suite_id</t>
  </si>
  <si>
    <t>refresh</t>
  </si>
  <si>
    <t>automation_flag</t>
  </si>
  <si>
    <t>jira_map_id</t>
  </si>
  <si>
    <t>RMS</t>
  </si>
  <si>
    <t>ODM-Layout</t>
  </si>
  <si>
    <t>BUT</t>
  </si>
  <si>
    <t>ODM-DM</t>
  </si>
  <si>
    <t>ODM-OM</t>
  </si>
  <si>
    <t>CFP</t>
  </si>
  <si>
    <t>jiraSystem</t>
  </si>
  <si>
    <t>Global Shop Floor Sysstem</t>
  </si>
  <si>
    <t>2019-07-01</t>
  </si>
  <si>
    <t>https://citml-tracking.atlassian.net/</t>
  </si>
  <si>
    <t>suite_name</t>
  </si>
  <si>
    <t>BRE</t>
  </si>
  <si>
    <t>Regression Test Cases</t>
  </si>
  <si>
    <t>UAT Business Test</t>
  </si>
  <si>
    <t>Compass@TSC</t>
  </si>
  <si>
    <t>AND created &gt; '2019-07-01' and issuetype in ('Defect', 'User Story', 'Support Request')</t>
  </si>
  <si>
    <t>https://schenkernordics.atlassian.net</t>
  </si>
  <si>
    <t>TSCRMS</t>
  </si>
  <si>
    <t>RMS Door2Door</t>
  </si>
  <si>
    <t>BUTLER</t>
  </si>
  <si>
    <t>CN - Flight Planning</t>
  </si>
  <si>
    <t>GCE</t>
  </si>
  <si>
    <t>Greater China eCustoms</t>
  </si>
  <si>
    <t>GE</t>
  </si>
  <si>
    <t>GPIS eProject</t>
  </si>
  <si>
    <t>Jira Defect Attribute</t>
  </si>
  <si>
    <t>TestRail setup</t>
  </si>
  <si>
    <t>Jira Instance</t>
  </si>
  <si>
    <t>TestRail Instance</t>
  </si>
  <si>
    <t>Security Training Level</t>
  </si>
  <si>
    <t>Security impl.</t>
  </si>
  <si>
    <t>Load &amp; Performance Testing</t>
  </si>
  <si>
    <t>0 not done</t>
  </si>
  <si>
    <t>1 onboarding</t>
  </si>
  <si>
    <t>1 regulary (new feature passive)</t>
  </si>
  <si>
    <t>1 by topic (documented and structured, planned revisit and reexecution)</t>
  </si>
  <si>
    <t>2 Owas Zap passive</t>
  </si>
  <si>
    <t>2 regulary (new feature active)</t>
  </si>
  <si>
    <t>2 by external ((documented and structured, planned revisit and reexecution))</t>
  </si>
  <si>
    <t>3 Owas Zap acitve</t>
  </si>
  <si>
    <t>3 Automation integration</t>
  </si>
  <si>
    <t>3 One Time by TSC-L&amp;P</t>
  </si>
  <si>
    <t>4 TSC-L&amp;P Subscription</t>
  </si>
  <si>
    <t>Compass</t>
  </si>
  <si>
    <t>Yes</t>
  </si>
  <si>
    <t>schenkernordics.atlassian.net</t>
  </si>
  <si>
    <t>Dbschenker.testrail.com</t>
  </si>
  <si>
    <t> </t>
  </si>
  <si>
    <t>Lines</t>
  </si>
  <si>
    <t>issues.atlassian.net</t>
  </si>
  <si>
    <t>dbschenker.testrail.com</t>
  </si>
  <si>
    <t>MDM</t>
  </si>
  <si>
    <t>WCL</t>
  </si>
  <si>
    <t>IIH</t>
  </si>
  <si>
    <t>IMP?</t>
  </si>
  <si>
    <t>Flight Planning</t>
  </si>
  <si>
    <t>ICON</t>
  </si>
  <si>
    <t>No</t>
  </si>
  <si>
    <t>eQuote</t>
  </si>
  <si>
    <t>Use QC to manage test cases</t>
  </si>
  <si>
    <t>Cisco BTS</t>
  </si>
  <si>
    <t>SPACE 2.0 enhancement</t>
  </si>
  <si>
    <t>NGW</t>
  </si>
  <si>
    <t>US Application</t>
  </si>
  <si>
    <t>AUWMS</t>
  </si>
  <si>
    <t>Use workfront</t>
  </si>
  <si>
    <t>Use AU own testrail</t>
  </si>
  <si>
    <t>GSFS (Rohit/Syed</t>
  </si>
  <si>
    <t>project in (CISCOSLC, JFP, ATD, AWA, IRE, GXDRE, WebClaims, 'Schenker Identity Management Service', 'MDMADM', GXD, GXD20R, GXDTSCSDAM, 'Output &amp; Document Management', 
                'SPACE 2.0', S20CTC, RATE, GCT, GE, AEC, AMSSC, C2MDM) AND created &gt; '2019-01-01' and issuetype in (Defect, Bug, 'Change Request', Demand, Improvement, 'New Feature', 'Remove Feature', Story, 'Technical Improvement', Epic, 'User Story', 'UAT Finding', 'QA Test Finding')</t>
  </si>
  <si>
    <t>Jira_System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</si>
</sst>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DB Sans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/>
      <right style="medium">
        <color rgb="FFA3A3A3"/>
      </right>
      <top/>
      <bottom/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/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49" fontId="2" fillId="0" borderId="0" xfId="1" applyNumberFormat="1"/>
    <xf numFmtId="0" fontId="0" fillId="0" borderId="0" xfId="0" applyAlignment="1">
      <alignment wrapText="1"/>
    </xf>
    <xf numFmtId="0" fontId="0" fillId="0" borderId="1" xfId="0" applyBorder="1"/>
    <xf numFmtId="0" fontId="3" fillId="0" borderId="2" xfId="0" applyFont="1" applyBorder="1" applyAlignment="1">
      <alignment readingOrder="1"/>
    </xf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3" fillId="0" borderId="4" xfId="0" applyFont="1" applyBorder="1"/>
    <xf numFmtId="0" fontId="0" fillId="0" borderId="5" xfId="0" applyBorder="1"/>
    <xf numFmtId="0" fontId="0" fillId="0" borderId="6" xfId="0" applyBorder="1"/>
    <xf numFmtId="0" fontId="3" fillId="0" borderId="6" xfId="0" applyFont="1" applyBorder="1"/>
    <xf numFmtId="0" fontId="4" fillId="0" borderId="7" xfId="0" applyFont="1" applyBorder="1"/>
    <xf numFmtId="0" fontId="3" fillId="0" borderId="8" xfId="0" applyFont="1" applyBorder="1" applyAlignment="1">
      <alignment readingOrder="1"/>
    </xf>
    <xf numFmtId="0" fontId="0" fillId="0" borderId="0" xfId="0" applyAlignment="1">
      <alignment horizontal="right"/>
    </xf>
    <xf numFmtId="49" fontId="6" fillId="0" borderId="0" xfId="0" applyNumberFormat="1" applyFont="1"/>
    <xf numFmtId="49" fontId="6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jira.schenker.se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citml-tracking.atlassian.net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schenkernordics.atlassian.net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FFA5-9CF1-4472-A06A-E9FA821DA4B3}">
  <dimension ref="B1:C5"/>
  <sheetViews>
    <sheetView workbookViewId="0">
      <selection activeCell="B6" sqref="B6:C6"/>
    </sheetView>
  </sheetViews>
  <sheetFormatPr defaultRowHeight="14.4" x14ac:dyDescent="0.3"/>
  <cols>
    <col min="2" max="2" width="28.44140625" customWidth="1"/>
    <col min="3" max="3" width="133.5546875" style="17" customWidth="1"/>
  </cols>
  <sheetData>
    <row r="1" spans="2:3" x14ac:dyDescent="0.3">
      <c r="B1" t="s">
        <v>0</v>
      </c>
      <c r="C1" s="17" t="s">
        <v>1</v>
      </c>
    </row>
    <row r="2" spans="2:3" ht="26.4" customHeight="1" x14ac:dyDescent="0.3">
      <c r="B2" t="s">
        <v>2</v>
      </c>
      <c r="C2" s="18" t="s">
        <v>3</v>
      </c>
    </row>
    <row r="3" spans="2:3" x14ac:dyDescent="0.3">
      <c r="B3" t="s">
        <v>4</v>
      </c>
      <c r="C3" s="17" t="s">
        <v>5</v>
      </c>
    </row>
    <row r="4" spans="2:3" x14ac:dyDescent="0.3">
      <c r="B4" t="s">
        <v>6</v>
      </c>
      <c r="C4" s="17" t="s">
        <v>7</v>
      </c>
    </row>
    <row r="5" spans="2:3" x14ac:dyDescent="0.3">
      <c r="B5" t="s">
        <v>8</v>
      </c>
      <c r="C5" s="17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0E25-132B-42F2-BF38-6CACCC60020D}">
  <dimension ref="A1:L31"/>
  <sheetViews>
    <sheetView tabSelected="1" workbookViewId="0">
      <selection activeCell="B22" sqref="B22"/>
    </sheetView>
  </sheetViews>
  <sheetFormatPr defaultRowHeight="14.4" x14ac:dyDescent="0.3"/>
  <cols>
    <col min="3" max="4" width="24.109375" customWidth="1"/>
    <col min="5" max="6" width="12.109375" bestFit="1" customWidth="1"/>
    <col min="7" max="7" width="33.5546875" customWidth="1"/>
    <col min="8" max="8" width="44.109375" customWidth="1"/>
    <col min="9" max="9" width="143.88671875" hidden="1" customWidth="1"/>
    <col min="10" max="10" width="16.88671875" hidden="1" customWidth="1"/>
    <col min="11" max="12" width="0" hidden="1" customWidth="1"/>
  </cols>
  <sheetData>
    <row r="1" spans="1:12" s="1" customFormat="1" x14ac:dyDescent="0.3">
      <c r="A1" s="1" t="s">
        <v>10</v>
      </c>
      <c r="B1" s="1" t="s">
        <v>11</v>
      </c>
      <c r="C1" s="1" t="s">
        <v>12</v>
      </c>
      <c r="D1" s="1" t="s">
        <v>178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</row>
    <row r="2" spans="1:12" x14ac:dyDescent="0.3">
      <c r="A2">
        <v>4</v>
      </c>
      <c r="B2" t="s">
        <v>21</v>
      </c>
      <c r="C2" t="s">
        <v>21</v>
      </c>
      <c r="D2" t="s">
        <v>22</v>
      </c>
      <c r="E2" s="2" t="s">
        <v>23</v>
      </c>
      <c r="F2" s="2" t="s">
        <v>24</v>
      </c>
      <c r="G2" s="2" t="s">
        <v>23</v>
      </c>
      <c r="H2" s="2" t="s">
        <v>23</v>
      </c>
      <c r="I2" s="2" t="s">
        <v>25</v>
      </c>
      <c r="J2" s="2" t="s">
        <v>26</v>
      </c>
      <c r="K2" s="2" t="s">
        <v>27</v>
      </c>
      <c r="L2" s="16">
        <v>1</v>
      </c>
    </row>
    <row r="3" spans="1:12" x14ac:dyDescent="0.3">
      <c r="A3">
        <v>6</v>
      </c>
      <c r="B3" t="s">
        <v>21</v>
      </c>
      <c r="C3" t="s">
        <v>21</v>
      </c>
      <c r="D3" t="s">
        <v>28</v>
      </c>
      <c r="E3" s="2" t="s">
        <v>29</v>
      </c>
      <c r="F3" s="2" t="s">
        <v>29</v>
      </c>
      <c r="G3" s="2" t="s">
        <v>30</v>
      </c>
      <c r="H3" s="2" t="s">
        <v>30</v>
      </c>
      <c r="I3" s="2" t="s">
        <v>31</v>
      </c>
      <c r="J3" s="2" t="s">
        <v>26</v>
      </c>
      <c r="K3" s="2" t="s">
        <v>32</v>
      </c>
      <c r="L3" s="16">
        <v>1</v>
      </c>
    </row>
    <row r="4" spans="1:12" x14ac:dyDescent="0.3">
      <c r="A4">
        <v>16</v>
      </c>
      <c r="B4" t="s">
        <v>21</v>
      </c>
      <c r="C4" t="s">
        <v>21</v>
      </c>
      <c r="D4" t="s">
        <v>22</v>
      </c>
      <c r="E4" s="2" t="s">
        <v>33</v>
      </c>
      <c r="F4" s="2" t="s">
        <v>34</v>
      </c>
      <c r="G4" s="2" t="s">
        <v>34</v>
      </c>
      <c r="H4" s="2" t="s">
        <v>34</v>
      </c>
      <c r="I4" s="2" t="s">
        <v>31</v>
      </c>
      <c r="J4" s="2" t="s">
        <v>26</v>
      </c>
      <c r="K4" s="2" t="s">
        <v>35</v>
      </c>
      <c r="L4" s="16">
        <v>1</v>
      </c>
    </row>
    <row r="5" spans="1:12" x14ac:dyDescent="0.3">
      <c r="A5">
        <v>14</v>
      </c>
      <c r="B5" t="s">
        <v>21</v>
      </c>
      <c r="C5" t="s">
        <v>21</v>
      </c>
      <c r="D5" t="s">
        <v>22</v>
      </c>
      <c r="E5" s="2" t="s">
        <v>36</v>
      </c>
      <c r="F5" s="2" t="s">
        <v>36</v>
      </c>
      <c r="G5" s="2" t="s">
        <v>37</v>
      </c>
      <c r="H5" s="2" t="s">
        <v>37</v>
      </c>
      <c r="I5" s="2" t="s">
        <v>38</v>
      </c>
      <c r="J5" s="2" t="s">
        <v>26</v>
      </c>
      <c r="K5" s="2" t="s">
        <v>39</v>
      </c>
      <c r="L5" s="16">
        <v>1</v>
      </c>
    </row>
    <row r="6" spans="1:12" x14ac:dyDescent="0.3">
      <c r="A6">
        <v>3</v>
      </c>
      <c r="B6" t="s">
        <v>21</v>
      </c>
      <c r="C6" t="s">
        <v>21</v>
      </c>
      <c r="D6" t="s">
        <v>22</v>
      </c>
      <c r="E6" s="2" t="s">
        <v>40</v>
      </c>
      <c r="F6" s="2" t="s">
        <v>40</v>
      </c>
      <c r="G6" s="2" t="s">
        <v>41</v>
      </c>
      <c r="H6" s="2" t="s">
        <v>41</v>
      </c>
      <c r="I6" s="2" t="s">
        <v>31</v>
      </c>
      <c r="J6" s="2" t="s">
        <v>26</v>
      </c>
      <c r="K6" s="2" t="s">
        <v>42</v>
      </c>
      <c r="L6" s="16">
        <v>1</v>
      </c>
    </row>
    <row r="7" spans="1:12" x14ac:dyDescent="0.3">
      <c r="A7">
        <v>12</v>
      </c>
      <c r="B7" t="s">
        <v>21</v>
      </c>
      <c r="C7" t="s">
        <v>21</v>
      </c>
      <c r="D7" t="s">
        <v>22</v>
      </c>
      <c r="E7" t="s">
        <v>43</v>
      </c>
      <c r="F7" t="s">
        <v>43</v>
      </c>
      <c r="G7" s="4" t="s">
        <v>43</v>
      </c>
      <c r="H7" t="s">
        <v>44</v>
      </c>
      <c r="I7" s="2" t="s">
        <v>45</v>
      </c>
      <c r="J7" s="2" t="s">
        <v>26</v>
      </c>
      <c r="K7" s="2" t="s">
        <v>46</v>
      </c>
      <c r="L7" s="16">
        <v>1</v>
      </c>
    </row>
    <row r="8" spans="1:12" x14ac:dyDescent="0.3">
      <c r="A8">
        <v>21</v>
      </c>
      <c r="B8" t="s">
        <v>21</v>
      </c>
      <c r="C8" t="s">
        <v>21</v>
      </c>
      <c r="D8" t="s">
        <v>22</v>
      </c>
      <c r="E8" t="s">
        <v>47</v>
      </c>
      <c r="F8" t="s">
        <v>47</v>
      </c>
      <c r="G8" t="s">
        <v>48</v>
      </c>
      <c r="H8" t="s">
        <v>49</v>
      </c>
      <c r="I8" s="2" t="s">
        <v>31</v>
      </c>
      <c r="J8" s="2" t="s">
        <v>26</v>
      </c>
      <c r="K8" s="2" t="s">
        <v>46</v>
      </c>
      <c r="L8" s="16">
        <v>1</v>
      </c>
    </row>
    <row r="9" spans="1:12" x14ac:dyDescent="0.3">
      <c r="A9">
        <v>39</v>
      </c>
      <c r="B9" t="s">
        <v>21</v>
      </c>
      <c r="C9" t="s">
        <v>21</v>
      </c>
      <c r="D9" t="s">
        <v>50</v>
      </c>
      <c r="E9" t="s">
        <v>51</v>
      </c>
      <c r="F9" t="s">
        <v>51</v>
      </c>
      <c r="G9" t="s">
        <v>52</v>
      </c>
      <c r="H9" t="s">
        <v>51</v>
      </c>
      <c r="I9" t="s">
        <v>53</v>
      </c>
      <c r="J9" s="2" t="s">
        <v>26</v>
      </c>
      <c r="K9" s="2" t="s">
        <v>39</v>
      </c>
      <c r="L9" s="16" t="s">
        <v>54</v>
      </c>
    </row>
    <row r="10" spans="1:12" x14ac:dyDescent="0.3">
      <c r="A10">
        <v>34</v>
      </c>
      <c r="B10" t="s">
        <v>55</v>
      </c>
      <c r="C10" t="s">
        <v>21</v>
      </c>
      <c r="D10" t="s">
        <v>22</v>
      </c>
      <c r="E10" t="s">
        <v>56</v>
      </c>
      <c r="F10" t="s">
        <v>56</v>
      </c>
      <c r="G10" t="s">
        <v>57</v>
      </c>
      <c r="H10" t="s">
        <v>57</v>
      </c>
      <c r="J10" s="2" t="s">
        <v>26</v>
      </c>
      <c r="K10" s="2" t="s">
        <v>46</v>
      </c>
      <c r="L10" s="16">
        <v>1</v>
      </c>
    </row>
    <row r="11" spans="1:12" x14ac:dyDescent="0.3">
      <c r="A11">
        <v>73</v>
      </c>
      <c r="B11" t="s">
        <v>55</v>
      </c>
      <c r="C11" t="s">
        <v>21</v>
      </c>
      <c r="D11" t="s">
        <v>22</v>
      </c>
      <c r="E11" t="s">
        <v>58</v>
      </c>
      <c r="F11" t="s">
        <v>58</v>
      </c>
      <c r="G11" t="s">
        <v>58</v>
      </c>
      <c r="H11" t="s">
        <v>58</v>
      </c>
      <c r="J11" s="2" t="s">
        <v>26</v>
      </c>
      <c r="K11" s="2" t="s">
        <v>59</v>
      </c>
      <c r="L11" s="16">
        <v>1</v>
      </c>
    </row>
    <row r="12" spans="1:12" x14ac:dyDescent="0.3">
      <c r="A12">
        <v>77</v>
      </c>
      <c r="B12" t="s">
        <v>21</v>
      </c>
      <c r="C12" t="s">
        <v>21</v>
      </c>
      <c r="D12" t="s">
        <v>22</v>
      </c>
      <c r="E12" t="s">
        <v>60</v>
      </c>
      <c r="F12" t="s">
        <v>60</v>
      </c>
      <c r="G12" t="s">
        <v>61</v>
      </c>
      <c r="H12" t="s">
        <v>61</v>
      </c>
      <c r="J12" s="2" t="s">
        <v>26</v>
      </c>
      <c r="K12" s="2" t="s">
        <v>62</v>
      </c>
      <c r="L12" s="16">
        <v>1</v>
      </c>
    </row>
    <row r="13" spans="1:12" x14ac:dyDescent="0.3">
      <c r="A13">
        <v>89</v>
      </c>
      <c r="B13" t="s">
        <v>55</v>
      </c>
      <c r="C13" t="s">
        <v>55</v>
      </c>
      <c r="D13" t="s">
        <v>22</v>
      </c>
      <c r="E13" t="s">
        <v>63</v>
      </c>
      <c r="F13" t="s">
        <v>63</v>
      </c>
      <c r="G13" t="s">
        <v>64</v>
      </c>
      <c r="H13" t="s">
        <v>64</v>
      </c>
      <c r="J13" s="2" t="s">
        <v>26</v>
      </c>
      <c r="K13" s="2" t="s">
        <v>65</v>
      </c>
      <c r="L13" s="16">
        <v>1</v>
      </c>
    </row>
    <row r="14" spans="1:12" x14ac:dyDescent="0.3">
      <c r="A14">
        <v>86</v>
      </c>
      <c r="B14" t="s">
        <v>21</v>
      </c>
      <c r="C14" t="s">
        <v>21</v>
      </c>
      <c r="D14" t="s">
        <v>22</v>
      </c>
      <c r="E14" t="s">
        <v>66</v>
      </c>
      <c r="F14" t="s">
        <v>66</v>
      </c>
      <c r="G14" t="s">
        <v>67</v>
      </c>
      <c r="H14" t="s">
        <v>67</v>
      </c>
      <c r="L14" s="16">
        <v>1</v>
      </c>
    </row>
    <row r="15" spans="1:12" x14ac:dyDescent="0.3">
      <c r="A15">
        <v>102</v>
      </c>
      <c r="B15" t="s">
        <v>21</v>
      </c>
      <c r="C15" t="s">
        <v>21</v>
      </c>
      <c r="D15" t="s">
        <v>22</v>
      </c>
      <c r="E15" t="s">
        <v>68</v>
      </c>
      <c r="F15" t="s">
        <v>68</v>
      </c>
      <c r="G15" t="s">
        <v>69</v>
      </c>
      <c r="H15" t="s">
        <v>69</v>
      </c>
      <c r="L15" s="16">
        <v>1</v>
      </c>
    </row>
    <row r="16" spans="1:12" x14ac:dyDescent="0.3">
      <c r="A16">
        <v>85</v>
      </c>
      <c r="B16" t="s">
        <v>55</v>
      </c>
      <c r="C16" t="s">
        <v>55</v>
      </c>
      <c r="D16" t="s">
        <v>22</v>
      </c>
      <c r="E16" t="s">
        <v>70</v>
      </c>
      <c r="F16" t="s">
        <v>70</v>
      </c>
      <c r="G16" s="4" t="s">
        <v>71</v>
      </c>
      <c r="H16" s="4" t="s">
        <v>71</v>
      </c>
      <c r="L16" s="16">
        <v>1</v>
      </c>
    </row>
    <row r="17" spans="1:12" x14ac:dyDescent="0.3">
      <c r="A17">
        <v>106</v>
      </c>
      <c r="B17" t="s">
        <v>21</v>
      </c>
      <c r="C17" t="s">
        <v>21</v>
      </c>
      <c r="D17" t="s">
        <v>22</v>
      </c>
      <c r="E17" t="s">
        <v>72</v>
      </c>
      <c r="F17" t="s">
        <v>72</v>
      </c>
      <c r="G17" t="s">
        <v>73</v>
      </c>
      <c r="H17" t="s">
        <v>73</v>
      </c>
      <c r="L17" s="16">
        <v>1</v>
      </c>
    </row>
    <row r="18" spans="1:12" x14ac:dyDescent="0.3">
      <c r="A18">
        <v>900002</v>
      </c>
      <c r="B18" t="s">
        <v>21</v>
      </c>
      <c r="C18" t="s">
        <v>55</v>
      </c>
      <c r="D18" t="s">
        <v>74</v>
      </c>
      <c r="E18" t="s">
        <v>75</v>
      </c>
      <c r="F18" t="s">
        <v>75</v>
      </c>
      <c r="G18" t="s">
        <v>76</v>
      </c>
      <c r="H18" t="s">
        <v>76</v>
      </c>
    </row>
    <row r="19" spans="1:12" x14ac:dyDescent="0.3">
      <c r="A19">
        <v>110</v>
      </c>
      <c r="B19" t="s">
        <v>55</v>
      </c>
      <c r="C19" t="s">
        <v>55</v>
      </c>
      <c r="D19" t="s">
        <v>22</v>
      </c>
      <c r="E19" t="s">
        <v>77</v>
      </c>
      <c r="F19" t="s">
        <v>77</v>
      </c>
      <c r="G19" t="s">
        <v>78</v>
      </c>
      <c r="H19" t="s">
        <v>78</v>
      </c>
    </row>
    <row r="20" spans="1:12" x14ac:dyDescent="0.3">
      <c r="A20">
        <v>15</v>
      </c>
      <c r="B20" t="s">
        <v>21</v>
      </c>
      <c r="C20" t="s">
        <v>21</v>
      </c>
      <c r="D20" t="s">
        <v>22</v>
      </c>
      <c r="E20" t="s">
        <v>79</v>
      </c>
      <c r="F20" t="s">
        <v>79</v>
      </c>
      <c r="G20" t="s">
        <v>80</v>
      </c>
      <c r="H20" t="s">
        <v>80</v>
      </c>
    </row>
    <row r="21" spans="1:12" x14ac:dyDescent="0.3">
      <c r="A21">
        <v>10</v>
      </c>
      <c r="B21" t="s">
        <v>21</v>
      </c>
      <c r="C21" t="s">
        <v>21</v>
      </c>
      <c r="D21" t="s">
        <v>22</v>
      </c>
      <c r="E21" t="s">
        <v>81</v>
      </c>
      <c r="F21" t="s">
        <v>81</v>
      </c>
      <c r="G21" t="s">
        <v>82</v>
      </c>
      <c r="H21" t="s">
        <v>82</v>
      </c>
    </row>
    <row r="22" spans="1:12" x14ac:dyDescent="0.3">
      <c r="A22">
        <v>900001</v>
      </c>
      <c r="B22" t="s">
        <v>55</v>
      </c>
      <c r="C22" t="s">
        <v>55</v>
      </c>
      <c r="D22" t="s">
        <v>22</v>
      </c>
      <c r="E22" t="s">
        <v>83</v>
      </c>
      <c r="F22" t="s">
        <v>83</v>
      </c>
      <c r="G22" t="s">
        <v>84</v>
      </c>
      <c r="H22" t="s">
        <v>84</v>
      </c>
    </row>
    <row r="23" spans="1:12" x14ac:dyDescent="0.3">
      <c r="A23">
        <v>116</v>
      </c>
      <c r="B23" t="s">
        <v>21</v>
      </c>
      <c r="C23" t="s">
        <v>21</v>
      </c>
      <c r="D23" t="s">
        <v>22</v>
      </c>
      <c r="E23" t="s">
        <v>85</v>
      </c>
      <c r="F23" t="s">
        <v>85</v>
      </c>
      <c r="G23" t="s">
        <v>86</v>
      </c>
      <c r="H23" t="s">
        <v>86</v>
      </c>
    </row>
    <row r="24" spans="1:12" x14ac:dyDescent="0.3">
      <c r="A24">
        <v>115</v>
      </c>
      <c r="B24" t="s">
        <v>21</v>
      </c>
      <c r="C24" t="s">
        <v>21</v>
      </c>
      <c r="D24" t="s">
        <v>22</v>
      </c>
      <c r="E24" t="s">
        <v>87</v>
      </c>
      <c r="F24" t="s">
        <v>87</v>
      </c>
      <c r="G24" t="s">
        <v>88</v>
      </c>
      <c r="H24" t="s">
        <v>88</v>
      </c>
    </row>
    <row r="25" spans="1:12" x14ac:dyDescent="0.3">
      <c r="A25">
        <v>60</v>
      </c>
      <c r="B25" t="s">
        <v>21</v>
      </c>
      <c r="C25" t="s">
        <v>21</v>
      </c>
      <c r="D25" t="s">
        <v>28</v>
      </c>
      <c r="E25" t="s">
        <v>89</v>
      </c>
      <c r="F25" t="s">
        <v>89</v>
      </c>
      <c r="G25" t="s">
        <v>90</v>
      </c>
      <c r="H25" t="s">
        <v>90</v>
      </c>
    </row>
    <row r="26" spans="1:12" x14ac:dyDescent="0.3">
      <c r="A26">
        <v>127</v>
      </c>
      <c r="B26" t="s">
        <v>21</v>
      </c>
      <c r="C26" t="s">
        <v>21</v>
      </c>
      <c r="D26" t="s">
        <v>74</v>
      </c>
      <c r="E26" t="s">
        <v>91</v>
      </c>
      <c r="F26" t="s">
        <v>91</v>
      </c>
      <c r="G26" t="s">
        <v>92</v>
      </c>
      <c r="H26" t="s">
        <v>92</v>
      </c>
    </row>
    <row r="27" spans="1:12" x14ac:dyDescent="0.3">
      <c r="A27">
        <v>117</v>
      </c>
      <c r="B27" t="s">
        <v>21</v>
      </c>
      <c r="C27" t="s">
        <v>21</v>
      </c>
      <c r="D27" t="s">
        <v>22</v>
      </c>
      <c r="E27" t="s">
        <v>93</v>
      </c>
      <c r="F27" t="s">
        <v>93</v>
      </c>
      <c r="G27" t="s">
        <v>94</v>
      </c>
      <c r="H27" t="s">
        <v>94</v>
      </c>
    </row>
    <row r="28" spans="1:12" x14ac:dyDescent="0.3">
      <c r="A28">
        <v>134</v>
      </c>
      <c r="B28" t="s">
        <v>21</v>
      </c>
      <c r="C28" t="s">
        <v>21</v>
      </c>
      <c r="D28" t="s">
        <v>28</v>
      </c>
      <c r="E28" t="s">
        <v>95</v>
      </c>
      <c r="F28" t="s">
        <v>95</v>
      </c>
      <c r="G28" t="s">
        <v>96</v>
      </c>
      <c r="H28" t="s">
        <v>96</v>
      </c>
    </row>
    <row r="29" spans="1:12" x14ac:dyDescent="0.3">
      <c r="A29">
        <v>122</v>
      </c>
      <c r="B29" t="s">
        <v>21</v>
      </c>
      <c r="C29" t="s">
        <v>21</v>
      </c>
      <c r="D29" t="s">
        <v>97</v>
      </c>
      <c r="E29" t="s">
        <v>97</v>
      </c>
      <c r="F29" t="s">
        <v>97</v>
      </c>
      <c r="G29" t="s">
        <v>98</v>
      </c>
      <c r="H29" t="s">
        <v>98</v>
      </c>
    </row>
    <row r="30" spans="1:12" x14ac:dyDescent="0.3">
      <c r="A30">
        <v>900003</v>
      </c>
      <c r="B30" t="s">
        <v>21</v>
      </c>
      <c r="C30" t="s">
        <v>55</v>
      </c>
      <c r="D30" t="s">
        <v>22</v>
      </c>
      <c r="E30" t="s">
        <v>99</v>
      </c>
      <c r="F30" t="s">
        <v>99</v>
      </c>
      <c r="G30" t="s">
        <v>100</v>
      </c>
      <c r="H30" t="s">
        <v>100</v>
      </c>
    </row>
    <row r="31" spans="1:12" x14ac:dyDescent="0.3">
      <c r="A31">
        <v>141</v>
      </c>
      <c r="B31" t="s">
        <v>21</v>
      </c>
      <c r="C31" t="s">
        <v>21</v>
      </c>
      <c r="D31" t="s">
        <v>28</v>
      </c>
      <c r="E31" t="s">
        <v>101</v>
      </c>
      <c r="F31" t="s">
        <v>101</v>
      </c>
      <c r="G31" t="s">
        <v>102</v>
      </c>
      <c r="H31" t="s">
        <v>102</v>
      </c>
    </row>
  </sheetData>
  <phoneticPr fontId="5" type="noConversion"/>
  <hyperlinks>
    <hyperlink ref="L9" r:id="rId1" display="0" xr:uid="{4D8E605F-DFC7-48A1-9EEF-0C66C7505FAF}"/>
  </hyperlinks>
  <pageMargins left="0.7" right="0.7" top="0.75" bottom="0.75" header="0.3" footer="0.3"/>
  <pageSetup paperSize="9" orientation="portrait" horizontalDpi="90" verticalDpi="9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5C91-D39D-4141-BBA6-AE8776D479D9}">
  <dimension ref="A1:E37"/>
  <sheetViews>
    <sheetView topLeftCell="A18" workbookViewId="0">
      <selection activeCell="E35" sqref="E35"/>
    </sheetView>
  </sheetViews>
  <sheetFormatPr defaultRowHeight="14.4" x14ac:dyDescent="0.3"/>
  <cols>
    <col min="1" max="1" width="16.5546875" customWidth="1"/>
    <col min="2" max="2" width="13" customWidth="1"/>
    <col min="3" max="3" width="15" customWidth="1"/>
    <col min="5" max="5" width="44.109375" customWidth="1"/>
  </cols>
  <sheetData>
    <row r="1" spans="1:5" x14ac:dyDescent="0.3">
      <c r="A1" t="s">
        <v>103</v>
      </c>
      <c r="B1" t="s">
        <v>104</v>
      </c>
      <c r="C1" s="1" t="s">
        <v>105</v>
      </c>
      <c r="D1" t="s">
        <v>106</v>
      </c>
      <c r="E1" s="1" t="s">
        <v>107</v>
      </c>
    </row>
    <row r="2" spans="1:5" x14ac:dyDescent="0.3">
      <c r="A2">
        <v>1</v>
      </c>
      <c r="B2">
        <f>projList!A2</f>
        <v>4</v>
      </c>
      <c r="C2">
        <v>3</v>
      </c>
      <c r="D2" t="s">
        <v>21</v>
      </c>
      <c r="E2" s="2" t="s">
        <v>21</v>
      </c>
    </row>
    <row r="3" spans="1:5" x14ac:dyDescent="0.3">
      <c r="A3">
        <v>2</v>
      </c>
      <c r="B3">
        <f>projList!A3</f>
        <v>6</v>
      </c>
      <c r="C3">
        <v>5</v>
      </c>
      <c r="D3" t="s">
        <v>21</v>
      </c>
      <c r="E3" s="2" t="s">
        <v>21</v>
      </c>
    </row>
    <row r="4" spans="1:5" x14ac:dyDescent="0.3">
      <c r="A4">
        <v>3</v>
      </c>
      <c r="B4">
        <f>projList!A4</f>
        <v>16</v>
      </c>
      <c r="C4">
        <v>30</v>
      </c>
      <c r="D4" t="s">
        <v>21</v>
      </c>
      <c r="E4" s="2" t="s">
        <v>21</v>
      </c>
    </row>
    <row r="5" spans="1:5" x14ac:dyDescent="0.3">
      <c r="A5">
        <v>4</v>
      </c>
      <c r="B5">
        <f>projList!A5</f>
        <v>14</v>
      </c>
      <c r="C5">
        <v>27</v>
      </c>
      <c r="D5" t="s">
        <v>21</v>
      </c>
      <c r="E5" s="2" t="s">
        <v>21</v>
      </c>
    </row>
    <row r="6" spans="1:5" x14ac:dyDescent="0.3">
      <c r="A6">
        <v>6</v>
      </c>
      <c r="B6">
        <f>projList!A6</f>
        <v>3</v>
      </c>
      <c r="C6">
        <v>2</v>
      </c>
      <c r="D6" t="s">
        <v>21</v>
      </c>
      <c r="E6" s="2" t="s">
        <v>21</v>
      </c>
    </row>
    <row r="7" spans="1:5" x14ac:dyDescent="0.3">
      <c r="A7">
        <v>8</v>
      </c>
      <c r="B7">
        <v>19</v>
      </c>
      <c r="C7">
        <v>592</v>
      </c>
      <c r="D7" t="s">
        <v>21</v>
      </c>
      <c r="E7" s="2" t="s">
        <v>55</v>
      </c>
    </row>
    <row r="8" spans="1:5" x14ac:dyDescent="0.3">
      <c r="A8">
        <v>9</v>
      </c>
      <c r="B8">
        <v>23</v>
      </c>
      <c r="C8">
        <v>20</v>
      </c>
      <c r="D8" t="s">
        <v>21</v>
      </c>
      <c r="E8" s="2" t="s">
        <v>21</v>
      </c>
    </row>
    <row r="9" spans="1:5" x14ac:dyDescent="0.3">
      <c r="A9">
        <v>10</v>
      </c>
      <c r="B9">
        <v>39</v>
      </c>
      <c r="C9">
        <v>181</v>
      </c>
      <c r="D9" t="s">
        <v>21</v>
      </c>
      <c r="E9" s="2" t="s">
        <v>21</v>
      </c>
    </row>
    <row r="10" spans="1:5" x14ac:dyDescent="0.3">
      <c r="A10">
        <v>11</v>
      </c>
      <c r="B10">
        <v>12</v>
      </c>
      <c r="C10">
        <v>622</v>
      </c>
      <c r="D10" t="s">
        <v>21</v>
      </c>
      <c r="E10" s="2" t="s">
        <v>21</v>
      </c>
    </row>
    <row r="11" spans="1:5" x14ac:dyDescent="0.3">
      <c r="A11">
        <v>12</v>
      </c>
      <c r="B11">
        <v>12</v>
      </c>
      <c r="C11">
        <v>703</v>
      </c>
      <c r="D11" t="s">
        <v>21</v>
      </c>
      <c r="E11" s="2" t="s">
        <v>55</v>
      </c>
    </row>
    <row r="12" spans="1:5" x14ac:dyDescent="0.3">
      <c r="A12">
        <v>13</v>
      </c>
      <c r="B12">
        <v>12</v>
      </c>
      <c r="C12">
        <v>411</v>
      </c>
      <c r="D12" t="s">
        <v>21</v>
      </c>
      <c r="E12" s="2" t="s">
        <v>21</v>
      </c>
    </row>
    <row r="13" spans="1:5" x14ac:dyDescent="0.3">
      <c r="A13">
        <v>14</v>
      </c>
      <c r="B13">
        <v>34</v>
      </c>
      <c r="C13">
        <v>552</v>
      </c>
      <c r="D13" t="s">
        <v>21</v>
      </c>
      <c r="E13" s="2" t="s">
        <v>21</v>
      </c>
    </row>
    <row r="14" spans="1:5" x14ac:dyDescent="0.3">
      <c r="A14">
        <v>16</v>
      </c>
      <c r="B14">
        <v>73</v>
      </c>
      <c r="C14">
        <v>2162</v>
      </c>
      <c r="D14" t="s">
        <v>21</v>
      </c>
      <c r="E14" s="2" t="s">
        <v>55</v>
      </c>
    </row>
    <row r="15" spans="1:5" x14ac:dyDescent="0.3">
      <c r="A15">
        <v>17</v>
      </c>
      <c r="B15">
        <v>21</v>
      </c>
      <c r="C15">
        <v>181</v>
      </c>
      <c r="D15" t="s">
        <v>21</v>
      </c>
      <c r="E15" s="2" t="s">
        <v>55</v>
      </c>
    </row>
    <row r="16" spans="1:5" x14ac:dyDescent="0.3">
      <c r="A16">
        <v>18</v>
      </c>
      <c r="B16">
        <v>65</v>
      </c>
      <c r="C16">
        <v>1670</v>
      </c>
      <c r="D16" t="s">
        <v>21</v>
      </c>
      <c r="E16" s="2" t="s">
        <v>55</v>
      </c>
    </row>
    <row r="17" spans="1:5" x14ac:dyDescent="0.3">
      <c r="A17">
        <v>19</v>
      </c>
      <c r="B17">
        <v>77</v>
      </c>
      <c r="C17">
        <v>2803</v>
      </c>
      <c r="D17" t="s">
        <v>21</v>
      </c>
      <c r="E17" s="4" t="s">
        <v>21</v>
      </c>
    </row>
    <row r="18" spans="1:5" x14ac:dyDescent="0.3">
      <c r="A18">
        <v>21</v>
      </c>
      <c r="B18">
        <v>89</v>
      </c>
      <c r="C18">
        <v>6226</v>
      </c>
      <c r="D18" t="s">
        <v>21</v>
      </c>
      <c r="E18" s="2" t="s">
        <v>21</v>
      </c>
    </row>
    <row r="19" spans="1:5" x14ac:dyDescent="0.3">
      <c r="A19">
        <v>22</v>
      </c>
      <c r="B19">
        <v>86</v>
      </c>
      <c r="C19">
        <v>4189</v>
      </c>
      <c r="D19" t="s">
        <v>21</v>
      </c>
      <c r="E19" s="2" t="s">
        <v>55</v>
      </c>
    </row>
    <row r="20" spans="1:5" x14ac:dyDescent="0.3">
      <c r="A20">
        <v>23</v>
      </c>
      <c r="B20">
        <v>102</v>
      </c>
      <c r="C20">
        <v>10973</v>
      </c>
      <c r="D20" t="s">
        <v>21</v>
      </c>
      <c r="E20" s="2" t="s">
        <v>55</v>
      </c>
    </row>
    <row r="21" spans="1:5" x14ac:dyDescent="0.3">
      <c r="A21">
        <v>24</v>
      </c>
      <c r="B21">
        <v>12</v>
      </c>
      <c r="C21">
        <v>20</v>
      </c>
      <c r="D21" t="s">
        <v>21</v>
      </c>
      <c r="E21" s="2" t="s">
        <v>21</v>
      </c>
    </row>
    <row r="22" spans="1:5" x14ac:dyDescent="0.3">
      <c r="A22">
        <v>25</v>
      </c>
      <c r="B22">
        <v>85</v>
      </c>
      <c r="C22">
        <v>3711</v>
      </c>
      <c r="D22" t="s">
        <v>21</v>
      </c>
      <c r="E22" s="2" t="s">
        <v>55</v>
      </c>
    </row>
    <row r="23" spans="1:5" x14ac:dyDescent="0.3">
      <c r="A23">
        <v>26</v>
      </c>
      <c r="B23">
        <v>106</v>
      </c>
      <c r="C23">
        <v>13290</v>
      </c>
      <c r="D23" t="s">
        <v>21</v>
      </c>
      <c r="E23" s="2" t="s">
        <v>55</v>
      </c>
    </row>
    <row r="24" spans="1:5" x14ac:dyDescent="0.3">
      <c r="A24">
        <v>30</v>
      </c>
      <c r="B24">
        <v>44</v>
      </c>
      <c r="C24">
        <v>637</v>
      </c>
      <c r="D24" t="s">
        <v>21</v>
      </c>
      <c r="E24" s="2" t="s">
        <v>55</v>
      </c>
    </row>
    <row r="25" spans="1:5" x14ac:dyDescent="0.3">
      <c r="A25">
        <v>31</v>
      </c>
      <c r="B25">
        <v>110</v>
      </c>
      <c r="C25">
        <v>16148</v>
      </c>
      <c r="D25" t="s">
        <v>21</v>
      </c>
      <c r="E25" s="2" t="s">
        <v>55</v>
      </c>
    </row>
    <row r="26" spans="1:5" x14ac:dyDescent="0.3">
      <c r="A26">
        <v>32</v>
      </c>
      <c r="B26">
        <v>15</v>
      </c>
      <c r="C26">
        <v>29</v>
      </c>
      <c r="D26" t="s">
        <v>21</v>
      </c>
      <c r="E26" s="2" t="s">
        <v>55</v>
      </c>
    </row>
    <row r="27" spans="1:5" x14ac:dyDescent="0.3">
      <c r="A27">
        <v>33</v>
      </c>
      <c r="B27">
        <v>10</v>
      </c>
      <c r="C27">
        <v>13</v>
      </c>
      <c r="D27" t="s">
        <v>21</v>
      </c>
      <c r="E27" s="2" t="s">
        <v>55</v>
      </c>
    </row>
    <row r="28" spans="1:5" x14ac:dyDescent="0.3">
      <c r="A28">
        <v>34</v>
      </c>
      <c r="B28">
        <v>900001</v>
      </c>
      <c r="C28">
        <v>900001</v>
      </c>
      <c r="D28" t="s">
        <v>55</v>
      </c>
      <c r="E28" t="s">
        <v>55</v>
      </c>
    </row>
    <row r="29" spans="1:5" x14ac:dyDescent="0.3">
      <c r="A29">
        <v>35</v>
      </c>
      <c r="B29">
        <v>116</v>
      </c>
      <c r="C29">
        <v>17711</v>
      </c>
      <c r="D29" t="s">
        <v>21</v>
      </c>
      <c r="E29" t="s">
        <v>21</v>
      </c>
    </row>
    <row r="30" spans="1:5" x14ac:dyDescent="0.3">
      <c r="A30">
        <v>36</v>
      </c>
      <c r="B30">
        <v>115</v>
      </c>
      <c r="C30">
        <v>17667</v>
      </c>
      <c r="D30" t="s">
        <v>21</v>
      </c>
      <c r="E30" t="s">
        <v>21</v>
      </c>
    </row>
    <row r="31" spans="1:5" x14ac:dyDescent="0.3">
      <c r="A31">
        <v>37</v>
      </c>
      <c r="B31">
        <v>60</v>
      </c>
      <c r="C31">
        <v>1154</v>
      </c>
      <c r="D31" t="s">
        <v>21</v>
      </c>
      <c r="E31" t="s">
        <v>21</v>
      </c>
    </row>
    <row r="32" spans="1:5" x14ac:dyDescent="0.3">
      <c r="A32">
        <v>38</v>
      </c>
      <c r="B32">
        <v>127</v>
      </c>
      <c r="C32">
        <v>19760</v>
      </c>
      <c r="D32" t="s">
        <v>21</v>
      </c>
      <c r="E32" t="s">
        <v>55</v>
      </c>
    </row>
    <row r="33" spans="1:5" x14ac:dyDescent="0.3">
      <c r="A33">
        <v>39</v>
      </c>
      <c r="B33">
        <v>117</v>
      </c>
      <c r="C33">
        <v>18469</v>
      </c>
      <c r="D33" t="s">
        <v>21</v>
      </c>
      <c r="E33" t="s">
        <v>55</v>
      </c>
    </row>
    <row r="34" spans="1:5" x14ac:dyDescent="0.3">
      <c r="A34">
        <v>40</v>
      </c>
      <c r="B34">
        <v>134</v>
      </c>
      <c r="C34">
        <v>20778</v>
      </c>
      <c r="D34" t="s">
        <v>21</v>
      </c>
      <c r="E34" t="s">
        <v>55</v>
      </c>
    </row>
    <row r="35" spans="1:5" x14ac:dyDescent="0.3">
      <c r="A35">
        <v>41</v>
      </c>
      <c r="B35">
        <v>122</v>
      </c>
      <c r="C35">
        <v>19344</v>
      </c>
      <c r="D35" t="s">
        <v>21</v>
      </c>
      <c r="E35" t="s">
        <v>55</v>
      </c>
    </row>
    <row r="36" spans="1:5" x14ac:dyDescent="0.3">
      <c r="A36">
        <v>42</v>
      </c>
      <c r="B36">
        <v>900003</v>
      </c>
      <c r="C36">
        <v>900003</v>
      </c>
      <c r="D36" t="s">
        <v>55</v>
      </c>
      <c r="E36" t="s">
        <v>55</v>
      </c>
    </row>
    <row r="37" spans="1:5" x14ac:dyDescent="0.3">
      <c r="A37">
        <v>43</v>
      </c>
      <c r="B37">
        <v>141</v>
      </c>
      <c r="C37">
        <v>141</v>
      </c>
      <c r="D37" t="s">
        <v>21</v>
      </c>
      <c r="E37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D966-9BDA-49F8-AAD0-C319CAC61261}">
  <dimension ref="A1:B32"/>
  <sheetViews>
    <sheetView workbookViewId="0">
      <selection activeCell="C32" sqref="C32"/>
    </sheetView>
  </sheetViews>
  <sheetFormatPr defaultRowHeight="14.4" x14ac:dyDescent="0.3"/>
  <cols>
    <col min="1" max="1" width="15.5546875" customWidth="1"/>
  </cols>
  <sheetData>
    <row r="1" spans="1:2" x14ac:dyDescent="0.3">
      <c r="A1" t="s">
        <v>108</v>
      </c>
      <c r="B1" t="s">
        <v>13</v>
      </c>
    </row>
    <row r="2" spans="1:2" x14ac:dyDescent="0.3">
      <c r="A2">
        <v>1</v>
      </c>
      <c r="B2" t="s">
        <v>23</v>
      </c>
    </row>
    <row r="3" spans="1:2" x14ac:dyDescent="0.3">
      <c r="A3">
        <v>2</v>
      </c>
      <c r="B3" t="s">
        <v>29</v>
      </c>
    </row>
    <row r="4" spans="1:2" x14ac:dyDescent="0.3">
      <c r="A4">
        <v>3</v>
      </c>
      <c r="B4" t="s">
        <v>33</v>
      </c>
    </row>
    <row r="5" spans="1:2" x14ac:dyDescent="0.3">
      <c r="A5">
        <v>4</v>
      </c>
      <c r="B5" t="s">
        <v>36</v>
      </c>
    </row>
    <row r="6" spans="1:2" x14ac:dyDescent="0.3">
      <c r="A6">
        <v>5</v>
      </c>
      <c r="B6" t="s">
        <v>109</v>
      </c>
    </row>
    <row r="7" spans="1:2" x14ac:dyDescent="0.3">
      <c r="A7">
        <v>6</v>
      </c>
      <c r="B7" t="s">
        <v>110</v>
      </c>
    </row>
    <row r="8" spans="1:2" x14ac:dyDescent="0.3">
      <c r="A8">
        <v>7</v>
      </c>
      <c r="B8" t="s">
        <v>111</v>
      </c>
    </row>
    <row r="9" spans="1:2" x14ac:dyDescent="0.3">
      <c r="A9">
        <v>8</v>
      </c>
      <c r="B9" t="s">
        <v>112</v>
      </c>
    </row>
    <row r="10" spans="1:2" x14ac:dyDescent="0.3">
      <c r="A10">
        <v>9</v>
      </c>
      <c r="B10" t="s">
        <v>113</v>
      </c>
    </row>
    <row r="11" spans="1:2" x14ac:dyDescent="0.3">
      <c r="A11">
        <v>10</v>
      </c>
      <c r="B11" t="s">
        <v>51</v>
      </c>
    </row>
    <row r="12" spans="1:2" x14ac:dyDescent="0.3">
      <c r="A12">
        <v>12</v>
      </c>
      <c r="B12" t="s">
        <v>43</v>
      </c>
    </row>
    <row r="13" spans="1:2" x14ac:dyDescent="0.3">
      <c r="A13">
        <v>14</v>
      </c>
      <c r="B13" t="s">
        <v>56</v>
      </c>
    </row>
    <row r="14" spans="1:2" x14ac:dyDescent="0.3">
      <c r="A14">
        <v>15</v>
      </c>
      <c r="B14" t="s">
        <v>114</v>
      </c>
    </row>
    <row r="15" spans="1:2" x14ac:dyDescent="0.3">
      <c r="A15">
        <v>19</v>
      </c>
      <c r="B15" t="s">
        <v>60</v>
      </c>
    </row>
    <row r="16" spans="1:2" x14ac:dyDescent="0.3">
      <c r="A16">
        <v>21</v>
      </c>
      <c r="B16" t="s">
        <v>63</v>
      </c>
    </row>
    <row r="17" spans="1:2" x14ac:dyDescent="0.3">
      <c r="A17">
        <v>22</v>
      </c>
      <c r="B17" t="s">
        <v>66</v>
      </c>
    </row>
    <row r="18" spans="1:2" x14ac:dyDescent="0.3">
      <c r="A18">
        <v>24</v>
      </c>
      <c r="B18" t="s">
        <v>72</v>
      </c>
    </row>
    <row r="19" spans="1:2" x14ac:dyDescent="0.3">
      <c r="A19">
        <v>30</v>
      </c>
      <c r="B19" t="s">
        <v>75</v>
      </c>
    </row>
    <row r="20" spans="1:2" x14ac:dyDescent="0.3">
      <c r="A20">
        <v>31</v>
      </c>
      <c r="B20" t="s">
        <v>77</v>
      </c>
    </row>
    <row r="21" spans="1:2" x14ac:dyDescent="0.3">
      <c r="A21">
        <v>32</v>
      </c>
      <c r="B21" t="s">
        <v>79</v>
      </c>
    </row>
    <row r="22" spans="1:2" x14ac:dyDescent="0.3">
      <c r="A22">
        <v>33</v>
      </c>
      <c r="B22" t="s">
        <v>81</v>
      </c>
    </row>
    <row r="23" spans="1:2" x14ac:dyDescent="0.3">
      <c r="A23">
        <v>34</v>
      </c>
      <c r="B23" t="s">
        <v>83</v>
      </c>
    </row>
    <row r="24" spans="1:2" x14ac:dyDescent="0.3">
      <c r="A24">
        <v>35</v>
      </c>
      <c r="B24" t="s">
        <v>85</v>
      </c>
    </row>
    <row r="25" spans="1:2" x14ac:dyDescent="0.3">
      <c r="A25">
        <v>36</v>
      </c>
      <c r="B25" t="s">
        <v>87</v>
      </c>
    </row>
    <row r="26" spans="1:2" x14ac:dyDescent="0.3">
      <c r="A26">
        <v>37</v>
      </c>
      <c r="B26" t="s">
        <v>89</v>
      </c>
    </row>
    <row r="27" spans="1:2" x14ac:dyDescent="0.3">
      <c r="A27">
        <v>38</v>
      </c>
      <c r="B27" t="s">
        <v>91</v>
      </c>
    </row>
    <row r="28" spans="1:2" x14ac:dyDescent="0.3">
      <c r="A28">
        <v>39</v>
      </c>
      <c r="B28" t="s">
        <v>93</v>
      </c>
    </row>
    <row r="29" spans="1:2" x14ac:dyDescent="0.3">
      <c r="A29">
        <v>40</v>
      </c>
      <c r="B29" t="s">
        <v>95</v>
      </c>
    </row>
    <row r="30" spans="1:2" x14ac:dyDescent="0.3">
      <c r="A30">
        <v>41</v>
      </c>
      <c r="B30" t="s">
        <v>97</v>
      </c>
    </row>
    <row r="31" spans="1:2" x14ac:dyDescent="0.3">
      <c r="A31">
        <v>42</v>
      </c>
      <c r="B31" t="s">
        <v>99</v>
      </c>
    </row>
    <row r="32" spans="1:2" x14ac:dyDescent="0.3">
      <c r="A32">
        <v>43</v>
      </c>
      <c r="B32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17CC-696F-47F0-996F-421A8B31869C}">
  <dimension ref="A1:B34"/>
  <sheetViews>
    <sheetView topLeftCell="A8" workbookViewId="0">
      <selection activeCell="D35" sqref="D35"/>
    </sheetView>
  </sheetViews>
  <sheetFormatPr defaultRowHeight="14.4" x14ac:dyDescent="0.3"/>
  <cols>
    <col min="1" max="1" width="18.5546875" customWidth="1"/>
  </cols>
  <sheetData>
    <row r="1" spans="1:2" x14ac:dyDescent="0.3">
      <c r="A1" t="s">
        <v>103</v>
      </c>
      <c r="B1" t="s">
        <v>108</v>
      </c>
    </row>
    <row r="2" spans="1:2" x14ac:dyDescent="0.3">
      <c r="A2">
        <v>1</v>
      </c>
      <c r="B2">
        <v>1</v>
      </c>
    </row>
    <row r="3" spans="1:2" x14ac:dyDescent="0.3">
      <c r="A3">
        <v>2</v>
      </c>
      <c r="B3">
        <v>2</v>
      </c>
    </row>
    <row r="4" spans="1:2" x14ac:dyDescent="0.3">
      <c r="A4">
        <v>3</v>
      </c>
      <c r="B4">
        <v>3</v>
      </c>
    </row>
    <row r="5" spans="1:2" x14ac:dyDescent="0.3">
      <c r="A5">
        <v>4</v>
      </c>
      <c r="B5">
        <v>4</v>
      </c>
    </row>
    <row r="6" spans="1:2" x14ac:dyDescent="0.3">
      <c r="A6">
        <v>5</v>
      </c>
      <c r="B6">
        <v>5</v>
      </c>
    </row>
    <row r="7" spans="1:2" x14ac:dyDescent="0.3">
      <c r="A7">
        <v>6</v>
      </c>
      <c r="B7">
        <v>6</v>
      </c>
    </row>
    <row r="8" spans="1:2" x14ac:dyDescent="0.3">
      <c r="A8">
        <v>7</v>
      </c>
      <c r="B8">
        <v>7</v>
      </c>
    </row>
    <row r="9" spans="1:2" x14ac:dyDescent="0.3">
      <c r="A9">
        <v>8</v>
      </c>
      <c r="B9">
        <v>8</v>
      </c>
    </row>
    <row r="10" spans="1:2" x14ac:dyDescent="0.3">
      <c r="A10">
        <v>9</v>
      </c>
      <c r="B10">
        <v>9</v>
      </c>
    </row>
    <row r="11" spans="1:2" x14ac:dyDescent="0.3">
      <c r="A11">
        <v>10</v>
      </c>
      <c r="B11">
        <v>10</v>
      </c>
    </row>
    <row r="12" spans="1:2" x14ac:dyDescent="0.3">
      <c r="A12">
        <v>11</v>
      </c>
      <c r="B12">
        <v>11</v>
      </c>
    </row>
    <row r="13" spans="1:2" x14ac:dyDescent="0.3">
      <c r="A13">
        <v>12</v>
      </c>
      <c r="B13">
        <v>12</v>
      </c>
    </row>
    <row r="14" spans="1:2" x14ac:dyDescent="0.3">
      <c r="A14">
        <v>14</v>
      </c>
      <c r="B14">
        <v>14</v>
      </c>
    </row>
    <row r="15" spans="1:2" x14ac:dyDescent="0.3">
      <c r="A15">
        <v>15</v>
      </c>
      <c r="B15">
        <v>15</v>
      </c>
    </row>
    <row r="16" spans="1:2" x14ac:dyDescent="0.3">
      <c r="A16">
        <v>16</v>
      </c>
      <c r="B16">
        <v>16</v>
      </c>
    </row>
    <row r="17" spans="1:2" x14ac:dyDescent="0.3">
      <c r="A17">
        <v>21</v>
      </c>
      <c r="B17">
        <v>21</v>
      </c>
    </row>
    <row r="18" spans="1:2" x14ac:dyDescent="0.3">
      <c r="A18">
        <v>22</v>
      </c>
      <c r="B18">
        <v>22</v>
      </c>
    </row>
    <row r="19" spans="1:2" x14ac:dyDescent="0.3">
      <c r="A19">
        <v>23</v>
      </c>
      <c r="B19">
        <v>23</v>
      </c>
    </row>
    <row r="20" spans="1:2" x14ac:dyDescent="0.3">
      <c r="A20">
        <v>24</v>
      </c>
      <c r="B20">
        <v>26</v>
      </c>
    </row>
    <row r="21" spans="1:2" x14ac:dyDescent="0.3">
      <c r="A21">
        <v>30</v>
      </c>
      <c r="B21">
        <v>30</v>
      </c>
    </row>
    <row r="22" spans="1:2" x14ac:dyDescent="0.3">
      <c r="A22">
        <v>31</v>
      </c>
      <c r="B22">
        <v>31</v>
      </c>
    </row>
    <row r="23" spans="1:2" x14ac:dyDescent="0.3">
      <c r="A23">
        <v>32</v>
      </c>
      <c r="B23">
        <v>32</v>
      </c>
    </row>
    <row r="24" spans="1:2" x14ac:dyDescent="0.3">
      <c r="A24">
        <v>33</v>
      </c>
      <c r="B24">
        <v>33</v>
      </c>
    </row>
    <row r="25" spans="1:2" x14ac:dyDescent="0.3">
      <c r="A25">
        <v>34</v>
      </c>
      <c r="B25">
        <v>34</v>
      </c>
    </row>
    <row r="26" spans="1:2" x14ac:dyDescent="0.3">
      <c r="A26">
        <v>35</v>
      </c>
      <c r="B26">
        <v>35</v>
      </c>
    </row>
    <row r="27" spans="1:2" x14ac:dyDescent="0.3">
      <c r="A27">
        <v>36</v>
      </c>
      <c r="B27">
        <v>36</v>
      </c>
    </row>
    <row r="28" spans="1:2" x14ac:dyDescent="0.3">
      <c r="A28">
        <v>37</v>
      </c>
      <c r="B28">
        <v>37</v>
      </c>
    </row>
    <row r="29" spans="1:2" x14ac:dyDescent="0.3">
      <c r="A29">
        <v>38</v>
      </c>
      <c r="B29">
        <v>38</v>
      </c>
    </row>
    <row r="30" spans="1:2" x14ac:dyDescent="0.3">
      <c r="A30">
        <v>39</v>
      </c>
      <c r="B30">
        <v>39</v>
      </c>
    </row>
    <row r="31" spans="1:2" x14ac:dyDescent="0.3">
      <c r="A31">
        <v>40</v>
      </c>
      <c r="B31">
        <v>40</v>
      </c>
    </row>
    <row r="32" spans="1:2" x14ac:dyDescent="0.3">
      <c r="A32">
        <v>41</v>
      </c>
      <c r="B32">
        <v>41</v>
      </c>
    </row>
    <row r="33" spans="1:2" x14ac:dyDescent="0.3">
      <c r="A33">
        <v>42</v>
      </c>
      <c r="B33">
        <v>42</v>
      </c>
    </row>
    <row r="34" spans="1:2" x14ac:dyDescent="0.3">
      <c r="A34">
        <v>43</v>
      </c>
      <c r="B34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9E87-325D-4127-8732-4328A82F4982}">
  <dimension ref="A1:I2"/>
  <sheetViews>
    <sheetView workbookViewId="0">
      <selection activeCell="F2" sqref="F2"/>
    </sheetView>
  </sheetViews>
  <sheetFormatPr defaultRowHeight="14.4" x14ac:dyDescent="0.3"/>
  <cols>
    <col min="6" max="6" width="63.109375" customWidth="1"/>
    <col min="8" max="8" width="20.33203125" customWidth="1"/>
  </cols>
  <sheetData>
    <row r="1" spans="1:9" x14ac:dyDescent="0.3">
      <c r="A1" s="1" t="s">
        <v>10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115</v>
      </c>
    </row>
    <row r="2" spans="1:9" x14ac:dyDescent="0.3">
      <c r="A2">
        <v>44</v>
      </c>
      <c r="B2" t="s">
        <v>75</v>
      </c>
      <c r="C2" t="s">
        <v>75</v>
      </c>
      <c r="D2" t="s">
        <v>116</v>
      </c>
      <c r="E2" t="s">
        <v>75</v>
      </c>
      <c r="F2" t="s">
        <v>53</v>
      </c>
      <c r="G2" s="2" t="s">
        <v>117</v>
      </c>
      <c r="H2" s="2" t="s">
        <v>39</v>
      </c>
      <c r="I2" s="3" t="s">
        <v>118</v>
      </c>
    </row>
  </sheetData>
  <hyperlinks>
    <hyperlink ref="I2" r:id="rId1" xr:uid="{EE3D2791-511D-49F1-816C-62B607C422A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1367-FA63-41C0-9D9C-9510205212DC}">
  <dimension ref="A1:C5"/>
  <sheetViews>
    <sheetView workbookViewId="0">
      <selection activeCell="E6" sqref="E6"/>
    </sheetView>
  </sheetViews>
  <sheetFormatPr defaultRowHeight="14.4" x14ac:dyDescent="0.3"/>
  <sheetData>
    <row r="1" spans="1:3" x14ac:dyDescent="0.3">
      <c r="A1" t="s">
        <v>104</v>
      </c>
      <c r="B1" t="s">
        <v>105</v>
      </c>
      <c r="C1" t="s">
        <v>119</v>
      </c>
    </row>
    <row r="2" spans="1:3" x14ac:dyDescent="0.3">
      <c r="A2">
        <v>12</v>
      </c>
      <c r="B2">
        <v>20</v>
      </c>
      <c r="C2" t="s">
        <v>43</v>
      </c>
    </row>
    <row r="3" spans="1:3" x14ac:dyDescent="0.3">
      <c r="A3">
        <v>12</v>
      </c>
      <c r="B3">
        <v>622</v>
      </c>
      <c r="C3" t="s">
        <v>120</v>
      </c>
    </row>
    <row r="4" spans="1:3" x14ac:dyDescent="0.3">
      <c r="A4">
        <v>12</v>
      </c>
      <c r="B4">
        <v>703</v>
      </c>
      <c r="C4" t="s">
        <v>121</v>
      </c>
    </row>
    <row r="5" spans="1:3" x14ac:dyDescent="0.3">
      <c r="A5">
        <v>12</v>
      </c>
      <c r="B5">
        <v>422</v>
      </c>
      <c r="C5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66A00-CC46-4490-A51E-6CD4701B6CBE}">
  <dimension ref="A1:I2"/>
  <sheetViews>
    <sheetView workbookViewId="0">
      <selection activeCell="F7" sqref="F7"/>
    </sheetView>
  </sheetViews>
  <sheetFormatPr defaultRowHeight="14.4" x14ac:dyDescent="0.3"/>
  <cols>
    <col min="4" max="4" width="25.109375" customWidth="1"/>
    <col min="5" max="5" width="13.88671875" customWidth="1"/>
    <col min="6" max="6" width="63.109375" customWidth="1"/>
    <col min="7" max="7" width="13.88671875" customWidth="1"/>
    <col min="8" max="8" width="14.44140625" customWidth="1"/>
    <col min="9" max="9" width="34.44140625" customWidth="1"/>
  </cols>
  <sheetData>
    <row r="1" spans="1:9" x14ac:dyDescent="0.3">
      <c r="A1" s="1" t="s">
        <v>10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115</v>
      </c>
    </row>
    <row r="2" spans="1:9" x14ac:dyDescent="0.3">
      <c r="A2">
        <v>39</v>
      </c>
      <c r="B2" t="s">
        <v>51</v>
      </c>
      <c r="C2" t="s">
        <v>51</v>
      </c>
      <c r="D2" t="s">
        <v>123</v>
      </c>
      <c r="E2" t="s">
        <v>51</v>
      </c>
      <c r="F2" t="s">
        <v>124</v>
      </c>
      <c r="G2" s="2" t="s">
        <v>117</v>
      </c>
      <c r="H2" s="2" t="s">
        <v>39</v>
      </c>
      <c r="I2" s="3" t="s">
        <v>125</v>
      </c>
    </row>
  </sheetData>
  <hyperlinks>
    <hyperlink ref="I2" r:id="rId1" xr:uid="{58A31519-BE95-431E-B02D-252F7C7329B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CE8D2-5194-49E5-A4EA-E78A0DFEB95F}">
  <dimension ref="A1:G28"/>
  <sheetViews>
    <sheetView workbookViewId="0">
      <selection activeCell="E11" sqref="E11"/>
    </sheetView>
  </sheetViews>
  <sheetFormatPr defaultRowHeight="14.4" x14ac:dyDescent="0.3"/>
  <sheetData>
    <row r="1" spans="1:7" x14ac:dyDescent="0.3">
      <c r="A1" s="1" t="s">
        <v>10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">
      <c r="A2">
        <v>4</v>
      </c>
      <c r="B2" t="s">
        <v>21</v>
      </c>
      <c r="C2" s="2" t="s">
        <v>23</v>
      </c>
      <c r="D2" s="2" t="s">
        <v>24</v>
      </c>
      <c r="E2" s="2" t="s">
        <v>23</v>
      </c>
      <c r="F2" s="2" t="s">
        <v>23</v>
      </c>
      <c r="G2" s="2" t="s">
        <v>25</v>
      </c>
    </row>
    <row r="3" spans="1:7" x14ac:dyDescent="0.3">
      <c r="A3">
        <v>6</v>
      </c>
      <c r="B3" t="s">
        <v>21</v>
      </c>
      <c r="C3" s="2" t="s">
        <v>29</v>
      </c>
      <c r="D3" s="2" t="s">
        <v>29</v>
      </c>
      <c r="E3" s="2" t="s">
        <v>30</v>
      </c>
      <c r="F3" s="2" t="s">
        <v>30</v>
      </c>
      <c r="G3" s="2" t="s">
        <v>31</v>
      </c>
    </row>
    <row r="4" spans="1:7" x14ac:dyDescent="0.3">
      <c r="A4">
        <v>16</v>
      </c>
      <c r="B4" t="s">
        <v>21</v>
      </c>
      <c r="C4" s="2" t="s">
        <v>33</v>
      </c>
      <c r="D4" s="2" t="s">
        <v>34</v>
      </c>
      <c r="E4" s="2" t="s">
        <v>34</v>
      </c>
      <c r="F4" s="2" t="s">
        <v>34</v>
      </c>
      <c r="G4" s="2" t="s">
        <v>31</v>
      </c>
    </row>
    <row r="5" spans="1:7" x14ac:dyDescent="0.3">
      <c r="A5">
        <v>14</v>
      </c>
      <c r="B5" t="s">
        <v>21</v>
      </c>
      <c r="C5" s="2" t="s">
        <v>36</v>
      </c>
      <c r="D5" s="2" t="s">
        <v>36</v>
      </c>
      <c r="E5" s="2" t="s">
        <v>37</v>
      </c>
      <c r="F5" s="2" t="s">
        <v>37</v>
      </c>
      <c r="G5" s="2" t="s">
        <v>38</v>
      </c>
    </row>
    <row r="6" spans="1:7" x14ac:dyDescent="0.3">
      <c r="A6">
        <v>24</v>
      </c>
      <c r="B6" t="s">
        <v>21</v>
      </c>
      <c r="C6" s="2" t="s">
        <v>109</v>
      </c>
      <c r="D6" s="2" t="s">
        <v>126</v>
      </c>
      <c r="E6" s="2" t="s">
        <v>127</v>
      </c>
      <c r="F6" s="2" t="s">
        <v>127</v>
      </c>
      <c r="G6" s="2" t="s">
        <v>31</v>
      </c>
    </row>
    <row r="7" spans="1:7" x14ac:dyDescent="0.3">
      <c r="A7">
        <v>3</v>
      </c>
      <c r="B7" t="s">
        <v>21</v>
      </c>
      <c r="C7" s="2" t="s">
        <v>40</v>
      </c>
      <c r="D7" s="2" t="s">
        <v>40</v>
      </c>
      <c r="E7" s="2" t="s">
        <v>41</v>
      </c>
      <c r="F7" s="2" t="s">
        <v>41</v>
      </c>
      <c r="G7" s="2" t="s">
        <v>31</v>
      </c>
    </row>
    <row r="8" spans="1:7" x14ac:dyDescent="0.3">
      <c r="A8">
        <v>8</v>
      </c>
      <c r="B8" t="s">
        <v>21</v>
      </c>
      <c r="C8" s="2" t="s">
        <v>111</v>
      </c>
      <c r="D8" s="2" t="s">
        <v>111</v>
      </c>
      <c r="E8" s="2" t="s">
        <v>128</v>
      </c>
      <c r="F8" s="2" t="s">
        <v>128</v>
      </c>
      <c r="G8" s="2" t="s">
        <v>31</v>
      </c>
    </row>
    <row r="9" spans="1:7" x14ac:dyDescent="0.3">
      <c r="A9">
        <v>12</v>
      </c>
      <c r="B9" t="s">
        <v>21</v>
      </c>
      <c r="C9" t="s">
        <v>43</v>
      </c>
      <c r="D9" t="s">
        <v>43</v>
      </c>
      <c r="E9" s="4" t="s">
        <v>43</v>
      </c>
      <c r="F9" t="s">
        <v>44</v>
      </c>
      <c r="G9" s="2" t="s">
        <v>45</v>
      </c>
    </row>
    <row r="10" spans="1:7" x14ac:dyDescent="0.3">
      <c r="A10">
        <v>21</v>
      </c>
      <c r="B10" t="s">
        <v>21</v>
      </c>
      <c r="C10" t="s">
        <v>47</v>
      </c>
      <c r="D10" t="s">
        <v>47</v>
      </c>
      <c r="E10" t="s">
        <v>48</v>
      </c>
      <c r="F10" t="s">
        <v>49</v>
      </c>
      <c r="G10" s="2" t="s">
        <v>31</v>
      </c>
    </row>
    <row r="11" spans="1:7" x14ac:dyDescent="0.3">
      <c r="A11">
        <v>39</v>
      </c>
      <c r="B11" t="s">
        <v>21</v>
      </c>
      <c r="C11" t="s">
        <v>51</v>
      </c>
      <c r="D11" t="s">
        <v>51</v>
      </c>
      <c r="E11" t="s">
        <v>123</v>
      </c>
      <c r="F11" t="s">
        <v>51</v>
      </c>
      <c r="G11" t="s">
        <v>53</v>
      </c>
    </row>
    <row r="12" spans="1:7" x14ac:dyDescent="0.3">
      <c r="A12">
        <v>34</v>
      </c>
      <c r="B12" t="s">
        <v>21</v>
      </c>
      <c r="C12" t="s">
        <v>56</v>
      </c>
      <c r="D12" t="s">
        <v>56</v>
      </c>
      <c r="E12" t="s">
        <v>57</v>
      </c>
      <c r="F12" t="s">
        <v>57</v>
      </c>
    </row>
    <row r="13" spans="1:7" x14ac:dyDescent="0.3">
      <c r="A13">
        <v>63</v>
      </c>
      <c r="B13" t="s">
        <v>21</v>
      </c>
      <c r="C13" t="s">
        <v>114</v>
      </c>
      <c r="D13" t="s">
        <v>114</v>
      </c>
      <c r="E13" t="s">
        <v>129</v>
      </c>
      <c r="F13" t="s">
        <v>129</v>
      </c>
    </row>
    <row r="14" spans="1:7" x14ac:dyDescent="0.3">
      <c r="A14">
        <v>73</v>
      </c>
      <c r="B14" t="s">
        <v>21</v>
      </c>
      <c r="C14" t="s">
        <v>58</v>
      </c>
      <c r="D14" t="s">
        <v>58</v>
      </c>
      <c r="E14" t="s">
        <v>58</v>
      </c>
      <c r="F14" t="s">
        <v>58</v>
      </c>
    </row>
    <row r="15" spans="1:7" x14ac:dyDescent="0.3">
      <c r="A15">
        <v>77</v>
      </c>
      <c r="B15" t="s">
        <v>21</v>
      </c>
      <c r="C15" t="s">
        <v>60</v>
      </c>
      <c r="D15" t="s">
        <v>60</v>
      </c>
      <c r="E15" t="s">
        <v>61</v>
      </c>
      <c r="F15" t="s">
        <v>61</v>
      </c>
    </row>
    <row r="16" spans="1:7" x14ac:dyDescent="0.3">
      <c r="A16">
        <v>84</v>
      </c>
      <c r="B16" t="s">
        <v>21</v>
      </c>
      <c r="C16" t="s">
        <v>130</v>
      </c>
      <c r="D16" t="s">
        <v>130</v>
      </c>
      <c r="E16" t="s">
        <v>131</v>
      </c>
      <c r="F16" t="s">
        <v>131</v>
      </c>
    </row>
    <row r="17" spans="1:6" x14ac:dyDescent="0.3">
      <c r="A17">
        <v>89</v>
      </c>
      <c r="B17" t="s">
        <v>21</v>
      </c>
      <c r="C17" t="s">
        <v>63</v>
      </c>
      <c r="D17" t="s">
        <v>63</v>
      </c>
      <c r="E17" t="s">
        <v>64</v>
      </c>
      <c r="F17" t="s">
        <v>64</v>
      </c>
    </row>
    <row r="18" spans="1:6" x14ac:dyDescent="0.3">
      <c r="A18">
        <v>86</v>
      </c>
      <c r="B18" t="s">
        <v>21</v>
      </c>
      <c r="C18" t="s">
        <v>66</v>
      </c>
      <c r="D18" t="s">
        <v>66</v>
      </c>
      <c r="E18" t="s">
        <v>67</v>
      </c>
      <c r="F18" t="s">
        <v>67</v>
      </c>
    </row>
    <row r="19" spans="1:6" x14ac:dyDescent="0.3">
      <c r="A19">
        <v>102</v>
      </c>
      <c r="B19" t="s">
        <v>21</v>
      </c>
      <c r="C19" t="s">
        <v>68</v>
      </c>
      <c r="D19" t="s">
        <v>68</v>
      </c>
      <c r="E19" t="s">
        <v>69</v>
      </c>
      <c r="F19" t="s">
        <v>69</v>
      </c>
    </row>
    <row r="20" spans="1:6" ht="72" x14ac:dyDescent="0.3">
      <c r="A20">
        <v>85</v>
      </c>
      <c r="B20" t="s">
        <v>21</v>
      </c>
      <c r="C20" t="s">
        <v>70</v>
      </c>
      <c r="D20" t="s">
        <v>70</v>
      </c>
      <c r="E20" s="4" t="s">
        <v>71</v>
      </c>
      <c r="F20" s="4" t="s">
        <v>71</v>
      </c>
    </row>
    <row r="21" spans="1:6" x14ac:dyDescent="0.3">
      <c r="A21">
        <v>106</v>
      </c>
      <c r="B21" t="s">
        <v>21</v>
      </c>
      <c r="C21" t="s">
        <v>72</v>
      </c>
      <c r="D21" t="s">
        <v>72</v>
      </c>
      <c r="E21" t="s">
        <v>73</v>
      </c>
      <c r="F21" t="s">
        <v>73</v>
      </c>
    </row>
    <row r="22" spans="1:6" x14ac:dyDescent="0.3">
      <c r="A22">
        <v>900002</v>
      </c>
      <c r="B22" t="s">
        <v>55</v>
      </c>
      <c r="C22" t="s">
        <v>75</v>
      </c>
      <c r="D22" t="s">
        <v>75</v>
      </c>
      <c r="E22" t="s">
        <v>76</v>
      </c>
      <c r="F22" t="s">
        <v>76</v>
      </c>
    </row>
    <row r="23" spans="1:6" x14ac:dyDescent="0.3">
      <c r="A23">
        <v>110</v>
      </c>
      <c r="B23" t="s">
        <v>21</v>
      </c>
      <c r="C23" t="s">
        <v>77</v>
      </c>
      <c r="D23" t="s">
        <v>77</v>
      </c>
      <c r="E23" t="s">
        <v>78</v>
      </c>
      <c r="F23" t="s">
        <v>78</v>
      </c>
    </row>
    <row r="24" spans="1:6" x14ac:dyDescent="0.3">
      <c r="A24">
        <v>15</v>
      </c>
      <c r="B24" t="s">
        <v>21</v>
      </c>
      <c r="C24" t="s">
        <v>79</v>
      </c>
      <c r="D24" t="s">
        <v>79</v>
      </c>
      <c r="E24" t="s">
        <v>80</v>
      </c>
      <c r="F24" t="s">
        <v>80</v>
      </c>
    </row>
    <row r="25" spans="1:6" x14ac:dyDescent="0.3">
      <c r="A25">
        <v>10</v>
      </c>
      <c r="B25" t="s">
        <v>21</v>
      </c>
      <c r="C25" t="s">
        <v>81</v>
      </c>
      <c r="D25" t="s">
        <v>81</v>
      </c>
      <c r="E25" t="s">
        <v>82</v>
      </c>
      <c r="F25" t="s">
        <v>82</v>
      </c>
    </row>
    <row r="26" spans="1:6" x14ac:dyDescent="0.3">
      <c r="A26">
        <v>900001</v>
      </c>
      <c r="B26" t="s">
        <v>55</v>
      </c>
      <c r="C26" t="s">
        <v>83</v>
      </c>
      <c r="D26" t="s">
        <v>83</v>
      </c>
      <c r="E26" t="s">
        <v>84</v>
      </c>
      <c r="F26" t="s">
        <v>84</v>
      </c>
    </row>
    <row r="27" spans="1:6" x14ac:dyDescent="0.3">
      <c r="A27">
        <v>116</v>
      </c>
      <c r="B27" t="s">
        <v>21</v>
      </c>
      <c r="C27" t="s">
        <v>132</v>
      </c>
      <c r="D27" t="s">
        <v>132</v>
      </c>
      <c r="E27" t="s">
        <v>133</v>
      </c>
      <c r="F27" t="s">
        <v>133</v>
      </c>
    </row>
    <row r="28" spans="1:6" x14ac:dyDescent="0.3">
      <c r="A28">
        <v>115</v>
      </c>
      <c r="B28" t="s">
        <v>21</v>
      </c>
      <c r="C28" t="s">
        <v>87</v>
      </c>
      <c r="D28" t="s">
        <v>87</v>
      </c>
      <c r="E28" t="s">
        <v>88</v>
      </c>
      <c r="F28" t="s">
        <v>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292F-ECAC-4FA0-8F59-089BDF86EA8F}">
  <dimension ref="A1:H26"/>
  <sheetViews>
    <sheetView workbookViewId="0">
      <selection activeCell="E10" sqref="E10"/>
    </sheetView>
  </sheetViews>
  <sheetFormatPr defaultRowHeight="14.4" x14ac:dyDescent="0.3"/>
  <cols>
    <col min="4" max="4" width="30.109375" customWidth="1"/>
    <col min="5" max="5" width="60.5546875" customWidth="1"/>
    <col min="6" max="6" width="26.109375" customWidth="1"/>
    <col min="7" max="7" width="20.109375" customWidth="1"/>
    <col min="8" max="8" width="71.88671875" bestFit="1" customWidth="1"/>
  </cols>
  <sheetData>
    <row r="1" spans="1:8" x14ac:dyDescent="0.3">
      <c r="A1" s="5"/>
      <c r="B1" s="6" t="s">
        <v>134</v>
      </c>
      <c r="C1" s="6" t="s">
        <v>135</v>
      </c>
      <c r="D1" s="6" t="s">
        <v>136</v>
      </c>
      <c r="E1" s="6" t="s">
        <v>137</v>
      </c>
      <c r="F1" s="7" t="s">
        <v>138</v>
      </c>
      <c r="G1" s="7" t="s">
        <v>139</v>
      </c>
      <c r="H1" s="7" t="s">
        <v>140</v>
      </c>
    </row>
    <row r="2" spans="1:8" x14ac:dyDescent="0.3">
      <c r="A2" s="8"/>
      <c r="B2" s="9"/>
      <c r="C2" s="9"/>
      <c r="D2" s="9"/>
      <c r="E2" s="9"/>
      <c r="F2" s="10" t="s">
        <v>141</v>
      </c>
      <c r="G2" s="10" t="s">
        <v>141</v>
      </c>
      <c r="H2" s="10" t="s">
        <v>141</v>
      </c>
    </row>
    <row r="3" spans="1:8" x14ac:dyDescent="0.3">
      <c r="A3" s="8"/>
      <c r="B3" s="9"/>
      <c r="C3" s="9"/>
      <c r="D3" s="9"/>
      <c r="E3" s="9"/>
      <c r="F3" s="10" t="s">
        <v>142</v>
      </c>
      <c r="G3" s="10" t="s">
        <v>143</v>
      </c>
      <c r="H3" s="10" t="s">
        <v>144</v>
      </c>
    </row>
    <row r="4" spans="1:8" x14ac:dyDescent="0.3">
      <c r="A4" s="8"/>
      <c r="B4" s="9"/>
      <c r="C4" s="9"/>
      <c r="D4" s="9"/>
      <c r="E4" s="9"/>
      <c r="F4" s="10" t="s">
        <v>145</v>
      </c>
      <c r="G4" s="10" t="s">
        <v>146</v>
      </c>
      <c r="H4" s="10" t="s">
        <v>147</v>
      </c>
    </row>
    <row r="5" spans="1:8" x14ac:dyDescent="0.3">
      <c r="A5" s="8"/>
      <c r="B5" s="9"/>
      <c r="C5" s="9"/>
      <c r="D5" s="9"/>
      <c r="E5" s="9"/>
      <c r="F5" s="10" t="s">
        <v>148</v>
      </c>
      <c r="G5" s="10" t="s">
        <v>149</v>
      </c>
      <c r="H5" s="10" t="s">
        <v>150</v>
      </c>
    </row>
    <row r="6" spans="1:8" x14ac:dyDescent="0.3">
      <c r="A6" s="11"/>
      <c r="B6" s="12"/>
      <c r="C6" s="12"/>
      <c r="D6" s="12"/>
      <c r="E6" s="12"/>
      <c r="F6" s="12"/>
      <c r="G6" s="12"/>
      <c r="H6" s="13" t="s">
        <v>151</v>
      </c>
    </row>
    <row r="7" spans="1:8" x14ac:dyDescent="0.3">
      <c r="A7" s="14" t="s">
        <v>152</v>
      </c>
      <c r="B7" s="15" t="s">
        <v>153</v>
      </c>
      <c r="C7" s="15" t="s">
        <v>153</v>
      </c>
      <c r="D7" s="15" t="s">
        <v>154</v>
      </c>
      <c r="E7" s="15" t="s">
        <v>155</v>
      </c>
      <c r="F7" s="15">
        <v>1</v>
      </c>
      <c r="G7" s="15">
        <v>0</v>
      </c>
      <c r="H7" s="15" t="s">
        <v>156</v>
      </c>
    </row>
    <row r="8" spans="1:8" x14ac:dyDescent="0.3">
      <c r="A8" s="14" t="s">
        <v>157</v>
      </c>
      <c r="B8" s="15" t="s">
        <v>153</v>
      </c>
      <c r="C8" s="15" t="s">
        <v>153</v>
      </c>
      <c r="D8" s="15" t="s">
        <v>158</v>
      </c>
      <c r="E8" s="15" t="s">
        <v>159</v>
      </c>
      <c r="F8" s="15">
        <v>2</v>
      </c>
      <c r="G8" s="15">
        <v>0</v>
      </c>
      <c r="H8" s="15" t="s">
        <v>156</v>
      </c>
    </row>
    <row r="9" spans="1:8" x14ac:dyDescent="0.3">
      <c r="A9" s="14" t="s">
        <v>109</v>
      </c>
      <c r="B9" s="15" t="s">
        <v>153</v>
      </c>
      <c r="C9" s="15" t="s">
        <v>153</v>
      </c>
      <c r="D9" s="15" t="s">
        <v>158</v>
      </c>
      <c r="E9" s="15" t="s">
        <v>159</v>
      </c>
      <c r="F9" s="15">
        <v>2</v>
      </c>
      <c r="G9" s="15">
        <v>0</v>
      </c>
      <c r="H9" s="15" t="s">
        <v>156</v>
      </c>
    </row>
    <row r="10" spans="1:8" x14ac:dyDescent="0.3">
      <c r="A10" s="14" t="s">
        <v>160</v>
      </c>
      <c r="B10" s="15" t="s">
        <v>153</v>
      </c>
      <c r="C10" s="15" t="s">
        <v>153</v>
      </c>
      <c r="D10" s="15" t="s">
        <v>158</v>
      </c>
      <c r="E10" s="15" t="s">
        <v>159</v>
      </c>
      <c r="F10" s="15">
        <v>2</v>
      </c>
      <c r="G10" s="15">
        <v>1</v>
      </c>
      <c r="H10" s="15" t="s">
        <v>156</v>
      </c>
    </row>
    <row r="11" spans="1:8" x14ac:dyDescent="0.3">
      <c r="A11" s="14" t="s">
        <v>161</v>
      </c>
      <c r="B11" s="15" t="s">
        <v>153</v>
      </c>
      <c r="C11" s="15" t="s">
        <v>153</v>
      </c>
      <c r="D11" s="15" t="s">
        <v>158</v>
      </c>
      <c r="E11" s="15" t="s">
        <v>159</v>
      </c>
      <c r="F11" s="15">
        <v>2</v>
      </c>
      <c r="G11" s="15">
        <v>1</v>
      </c>
      <c r="H11" s="15" t="s">
        <v>156</v>
      </c>
    </row>
    <row r="12" spans="1:8" x14ac:dyDescent="0.3">
      <c r="A12" s="14" t="s">
        <v>36</v>
      </c>
      <c r="B12" s="15" t="s">
        <v>153</v>
      </c>
      <c r="C12" s="15" t="s">
        <v>153</v>
      </c>
      <c r="D12" s="15" t="s">
        <v>158</v>
      </c>
      <c r="E12" s="15" t="s">
        <v>159</v>
      </c>
      <c r="F12" s="15">
        <v>2</v>
      </c>
      <c r="G12" s="15">
        <v>1</v>
      </c>
      <c r="H12" s="15" t="s">
        <v>156</v>
      </c>
    </row>
    <row r="13" spans="1:8" x14ac:dyDescent="0.3">
      <c r="A13" s="14" t="s">
        <v>40</v>
      </c>
      <c r="B13" s="15" t="s">
        <v>153</v>
      </c>
      <c r="C13" s="15" t="s">
        <v>153</v>
      </c>
      <c r="D13" s="15" t="s">
        <v>158</v>
      </c>
      <c r="E13" s="15" t="s">
        <v>159</v>
      </c>
      <c r="F13" s="15">
        <v>2</v>
      </c>
      <c r="G13" s="15">
        <v>1</v>
      </c>
      <c r="H13" s="15" t="s">
        <v>156</v>
      </c>
    </row>
    <row r="14" spans="1:8" x14ac:dyDescent="0.3">
      <c r="A14" s="14" t="s">
        <v>162</v>
      </c>
      <c r="B14" s="15" t="s">
        <v>156</v>
      </c>
      <c r="C14" s="15" t="s">
        <v>156</v>
      </c>
      <c r="D14" s="15" t="s">
        <v>158</v>
      </c>
      <c r="E14" s="15" t="s">
        <v>156</v>
      </c>
      <c r="F14" s="15">
        <v>0</v>
      </c>
      <c r="G14" s="15">
        <v>0</v>
      </c>
      <c r="H14" s="15" t="s">
        <v>156</v>
      </c>
    </row>
    <row r="15" spans="1:8" x14ac:dyDescent="0.3">
      <c r="A15" s="14" t="s">
        <v>163</v>
      </c>
      <c r="B15" s="15" t="s">
        <v>156</v>
      </c>
      <c r="C15" s="15" t="s">
        <v>156</v>
      </c>
      <c r="D15" s="15" t="s">
        <v>158</v>
      </c>
      <c r="E15" s="15" t="s">
        <v>156</v>
      </c>
      <c r="F15" s="15" t="s">
        <v>156</v>
      </c>
      <c r="G15" s="15" t="s">
        <v>156</v>
      </c>
      <c r="H15" s="15" t="s">
        <v>156</v>
      </c>
    </row>
    <row r="16" spans="1:8" x14ac:dyDescent="0.3">
      <c r="A16" s="14" t="s">
        <v>164</v>
      </c>
      <c r="B16" s="15" t="s">
        <v>153</v>
      </c>
      <c r="C16" s="15" t="s">
        <v>153</v>
      </c>
      <c r="D16" s="15" t="s">
        <v>158</v>
      </c>
      <c r="E16" s="15" t="s">
        <v>159</v>
      </c>
      <c r="F16" s="15">
        <v>1</v>
      </c>
      <c r="G16" s="15">
        <v>0</v>
      </c>
      <c r="H16" s="15" t="s">
        <v>156</v>
      </c>
    </row>
    <row r="17" spans="1:8" x14ac:dyDescent="0.3">
      <c r="A17" s="14" t="s">
        <v>165</v>
      </c>
      <c r="B17" s="15" t="s">
        <v>156</v>
      </c>
      <c r="C17" s="15" t="s">
        <v>156</v>
      </c>
      <c r="D17" s="15" t="s">
        <v>156</v>
      </c>
      <c r="E17" s="15" t="s">
        <v>156</v>
      </c>
      <c r="F17" s="15" t="s">
        <v>156</v>
      </c>
      <c r="G17" s="15" t="s">
        <v>156</v>
      </c>
      <c r="H17" s="15" t="s">
        <v>156</v>
      </c>
    </row>
    <row r="18" spans="1:8" x14ac:dyDescent="0.3">
      <c r="A18" s="14" t="s">
        <v>48</v>
      </c>
      <c r="B18" s="15" t="s">
        <v>166</v>
      </c>
      <c r="C18" s="15" t="s">
        <v>153</v>
      </c>
      <c r="D18" s="15" t="s">
        <v>158</v>
      </c>
      <c r="E18" s="15" t="s">
        <v>159</v>
      </c>
      <c r="F18" s="15">
        <v>0</v>
      </c>
      <c r="G18" s="15">
        <v>0</v>
      </c>
      <c r="H18" s="15" t="s">
        <v>156</v>
      </c>
    </row>
    <row r="19" spans="1:8" x14ac:dyDescent="0.3">
      <c r="A19" s="14" t="s">
        <v>167</v>
      </c>
      <c r="B19" s="15" t="s">
        <v>166</v>
      </c>
      <c r="C19" s="15" t="s">
        <v>166</v>
      </c>
      <c r="D19" s="15" t="s">
        <v>158</v>
      </c>
      <c r="E19" s="15" t="s">
        <v>168</v>
      </c>
      <c r="F19" s="15">
        <v>0</v>
      </c>
      <c r="G19" s="15">
        <v>0</v>
      </c>
      <c r="H19" s="15" t="s">
        <v>156</v>
      </c>
    </row>
    <row r="20" spans="1:8" x14ac:dyDescent="0.3">
      <c r="A20" s="14" t="s">
        <v>169</v>
      </c>
      <c r="B20" s="15" t="s">
        <v>166</v>
      </c>
      <c r="C20" s="15" t="s">
        <v>153</v>
      </c>
      <c r="D20" s="15" t="s">
        <v>158</v>
      </c>
      <c r="E20" s="15" t="s">
        <v>159</v>
      </c>
      <c r="F20" s="15">
        <v>1</v>
      </c>
      <c r="G20" s="15">
        <v>0</v>
      </c>
      <c r="H20" s="15" t="s">
        <v>156</v>
      </c>
    </row>
    <row r="21" spans="1:8" x14ac:dyDescent="0.3">
      <c r="A21" s="14" t="s">
        <v>43</v>
      </c>
      <c r="B21" s="15" t="s">
        <v>153</v>
      </c>
      <c r="C21" s="15" t="s">
        <v>153</v>
      </c>
      <c r="D21" s="15" t="s">
        <v>158</v>
      </c>
      <c r="E21" s="15" t="s">
        <v>159</v>
      </c>
      <c r="F21" s="15">
        <v>0</v>
      </c>
      <c r="G21" s="15">
        <v>0</v>
      </c>
      <c r="H21" s="15" t="s">
        <v>156</v>
      </c>
    </row>
    <row r="22" spans="1:8" x14ac:dyDescent="0.3">
      <c r="A22" s="14" t="s">
        <v>170</v>
      </c>
      <c r="B22" s="15" t="s">
        <v>153</v>
      </c>
      <c r="C22" s="15" t="s">
        <v>153</v>
      </c>
      <c r="D22" s="15" t="s">
        <v>158</v>
      </c>
      <c r="E22" s="15" t="s">
        <v>159</v>
      </c>
      <c r="F22" s="15">
        <v>1</v>
      </c>
      <c r="G22" s="15">
        <v>0</v>
      </c>
      <c r="H22" s="15" t="s">
        <v>156</v>
      </c>
    </row>
    <row r="23" spans="1:8" x14ac:dyDescent="0.3">
      <c r="A23" s="14" t="s">
        <v>171</v>
      </c>
      <c r="B23" s="15" t="s">
        <v>166</v>
      </c>
      <c r="C23" s="15" t="s">
        <v>166</v>
      </c>
      <c r="D23" s="15" t="s">
        <v>158</v>
      </c>
      <c r="E23" s="15" t="s">
        <v>159</v>
      </c>
      <c r="F23" s="15">
        <v>1</v>
      </c>
      <c r="G23" s="15">
        <v>0</v>
      </c>
      <c r="H23" s="15" t="s">
        <v>156</v>
      </c>
    </row>
    <row r="24" spans="1:8" x14ac:dyDescent="0.3">
      <c r="A24" s="14" t="s">
        <v>172</v>
      </c>
      <c r="B24" s="15" t="s">
        <v>166</v>
      </c>
      <c r="C24" s="15" t="s">
        <v>166</v>
      </c>
      <c r="D24" s="15" t="s">
        <v>158</v>
      </c>
      <c r="E24" s="15" t="s">
        <v>159</v>
      </c>
      <c r="F24" s="15">
        <v>0</v>
      </c>
      <c r="G24" s="15">
        <v>0</v>
      </c>
      <c r="H24" s="15" t="s">
        <v>156</v>
      </c>
    </row>
    <row r="25" spans="1:8" x14ac:dyDescent="0.3">
      <c r="A25" s="14" t="s">
        <v>173</v>
      </c>
      <c r="B25" s="15" t="s">
        <v>166</v>
      </c>
      <c r="C25" s="15" t="s">
        <v>166</v>
      </c>
      <c r="D25" s="15" t="s">
        <v>174</v>
      </c>
      <c r="E25" s="15" t="s">
        <v>175</v>
      </c>
      <c r="F25" s="15">
        <v>1</v>
      </c>
      <c r="G25" s="15">
        <v>0</v>
      </c>
      <c r="H25" s="15" t="s">
        <v>156</v>
      </c>
    </row>
    <row r="26" spans="1:8" x14ac:dyDescent="0.3">
      <c r="A26" s="14" t="s">
        <v>176</v>
      </c>
      <c r="B26" s="15" t="s">
        <v>156</v>
      </c>
      <c r="C26" s="15" t="s">
        <v>156</v>
      </c>
      <c r="D26" s="15" t="s">
        <v>156</v>
      </c>
      <c r="E26" s="15" t="s">
        <v>156</v>
      </c>
      <c r="F26" s="15" t="s">
        <v>156</v>
      </c>
      <c r="G26" s="15" t="s">
        <v>156</v>
      </c>
      <c r="H26" s="15" t="s">
        <v>156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8FBE-A84A-4AAD-B2E4-78495AC07456}">
  <dimension ref="B1:C5"/>
  <sheetViews>
    <sheetView workbookViewId="0">
      <selection activeCell="C3" sqref="C3"/>
    </sheetView>
  </sheetViews>
  <sheetFormatPr defaultRowHeight="14.4" x14ac:dyDescent="0.3"/>
  <cols>
    <col min="2" max="2" width="16.88671875" customWidth="1"/>
    <col min="3" max="3" width="21.44140625" style="17" customWidth="1"/>
  </cols>
  <sheetData>
    <row r="1" spans="2:3" x14ac:dyDescent="0.3">
      <c r="B1" t="s">
        <v>0</v>
      </c>
      <c r="C1" s="17" t="s">
        <v>1</v>
      </c>
    </row>
    <row r="2" spans="2:3" ht="26.4" customHeight="1" x14ac:dyDescent="0.3">
      <c r="B2" t="s">
        <v>2</v>
      </c>
      <c r="C2" s="18" t="s">
        <v>177</v>
      </c>
    </row>
    <row r="3" spans="2:3" x14ac:dyDescent="0.3">
      <c r="B3" t="s">
        <v>4</v>
      </c>
      <c r="C3" s="17" t="s">
        <v>5</v>
      </c>
    </row>
    <row r="4" spans="2:3" x14ac:dyDescent="0.3">
      <c r="B4" t="s">
        <v>6</v>
      </c>
      <c r="C4" s="17" t="s">
        <v>7</v>
      </c>
    </row>
    <row r="5" spans="2:3" x14ac:dyDescent="0.3">
      <c r="B5" t="s">
        <v>8</v>
      </c>
      <c r="C5" s="17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443a97-e97a-4b7d-8405-9bc0790b503b">
      <Terms xmlns="http://schemas.microsoft.com/office/infopath/2007/PartnerControls"/>
    </lcf76f155ced4ddcb4097134ff3c332f>
    <TaxCatchAll xmlns="2c586d59-2164-4115-9b6e-614b1b99ff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B5F88419B86F48B8165C8F5502B605" ma:contentTypeVersion="9" ma:contentTypeDescription="Create a new document." ma:contentTypeScope="" ma:versionID="e2016103744bbce1b9964b62b068ab87">
  <xsd:schema xmlns:xsd="http://www.w3.org/2001/XMLSchema" xmlns:xs="http://www.w3.org/2001/XMLSchema" xmlns:p="http://schemas.microsoft.com/office/2006/metadata/properties" xmlns:ns2="e2443a97-e97a-4b7d-8405-9bc0790b503b" xmlns:ns3="2c586d59-2164-4115-9b6e-614b1b99ffac" targetNamespace="http://schemas.microsoft.com/office/2006/metadata/properties" ma:root="true" ma:fieldsID="73a4ee55d6c2b4ef30b8c0fdea30c567" ns2:_="" ns3:_="">
    <xsd:import namespace="e2443a97-e97a-4b7d-8405-9bc0790b503b"/>
    <xsd:import namespace="2c586d59-2164-4115-9b6e-614b1b99ff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443a97-e97a-4b7d-8405-9bc0790b50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a2fdd27-ee36-42ac-901d-ae0f66495c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586d59-2164-4115-9b6e-614b1b99ff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7bf7210-67ed-41de-b5b8-2474c463d2cb}" ma:internalName="TaxCatchAll" ma:showField="CatchAllData" ma:web="2c586d59-2164-4115-9b6e-614b1b99ff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2C78D8-5937-4205-9544-3E5BFF9E2D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0809B4-71CF-400A-8712-C5CDFE484DE9}">
  <ds:schemaRefs>
    <ds:schemaRef ds:uri="http://schemas.microsoft.com/office/2006/metadata/properties"/>
    <ds:schemaRef ds:uri="http://schemas.microsoft.com/office/infopath/2007/PartnerControls"/>
    <ds:schemaRef ds:uri="e2443a97-e97a-4b7d-8405-9bc0790b503b"/>
    <ds:schemaRef ds:uri="2c586d59-2164-4115-9b6e-614b1b99ffac"/>
  </ds:schemaRefs>
</ds:datastoreItem>
</file>

<file path=customXml/itemProps3.xml><?xml version="1.0" encoding="utf-8"?>
<ds:datastoreItem xmlns:ds="http://schemas.openxmlformats.org/officeDocument/2006/customXml" ds:itemID="{9D3CE2F3-54E7-4B2D-9B44-9765D1A2F2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443a97-e97a-4b7d-8405-9bc0790b503b"/>
    <ds:schemaRef ds:uri="2c586d59-2164-4115-9b6e-614b1b99ff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05c9e18-d393-4470-8b67-9616c62ec31f}" enabled="1" method="Privileged" siteId="{c5d1e823-e2b8-46bf-92ff-84f54313e0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TSC_jira</vt:lpstr>
      <vt:lpstr>projList</vt:lpstr>
      <vt:lpstr>testrail_mapping</vt:lpstr>
      <vt:lpstr>jira_mapping</vt:lpstr>
      <vt:lpstr>mapping_jira_testrail</vt:lpstr>
      <vt:lpstr>projList_CL</vt:lpstr>
      <vt:lpstr>test_suite</vt:lpstr>
      <vt:lpstr>projList_SE</vt:lpstr>
      <vt:lpstr>Backup_202209</vt:lpstr>
      <vt:lpstr>Capability_Development</vt:lpstr>
      <vt:lpstr>TSC_jira Backup0623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Bruewer, Jörg</dc:creator>
  <cp:keywords/>
  <dc:description/>
  <cp:lastModifiedBy>Bruewer, Jörg</cp:lastModifiedBy>
  <cp:revision/>
  <dcterms:created xsi:type="dcterms:W3CDTF">2020-01-05T14:43:05Z</dcterms:created>
  <dcterms:modified xsi:type="dcterms:W3CDTF">2023-11-15T20:06:27Z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5c9e18-d393-4470-8b67-9616c62ec31f_Enabled">
    <vt:lpwstr>True</vt:lpwstr>
  </property>
  <property fmtid="{D5CDD505-2E9C-101B-9397-08002B2CF9AE}" pid="3" name="MSIP_Label_705c9e18-d393-4470-8b67-9616c62ec31f_SiteId">
    <vt:lpwstr>c5d1e823-e2b8-46bf-92ff-84f54313e0a5</vt:lpwstr>
  </property>
  <property fmtid="{D5CDD505-2E9C-101B-9397-08002B2CF9AE}" pid="4" name="MSIP_Label_705c9e18-d393-4470-8b67-9616c62ec31f_Owner">
    <vt:lpwstr>joerg.bruewer@dbschenker.com</vt:lpwstr>
  </property>
  <property fmtid="{D5CDD505-2E9C-101B-9397-08002B2CF9AE}" pid="5" name="MSIP_Label_705c9e18-d393-4470-8b67-9616c62ec31f_SetDate">
    <vt:lpwstr>2020-01-05T14:43:24.7352505Z</vt:lpwstr>
  </property>
  <property fmtid="{D5CDD505-2E9C-101B-9397-08002B2CF9AE}" pid="6" name="MSIP_Label_705c9e18-d393-4470-8b67-9616c62ec31f_Name">
    <vt:lpwstr>Internal</vt:lpwstr>
  </property>
  <property fmtid="{D5CDD505-2E9C-101B-9397-08002B2CF9AE}" pid="7" name="MSIP_Label_705c9e18-d393-4470-8b67-9616c62ec31f_Application">
    <vt:lpwstr>Microsoft Azure Information Protection</vt:lpwstr>
  </property>
  <property fmtid="{D5CDD505-2E9C-101B-9397-08002B2CF9AE}" pid="8" name="MSIP_Label_705c9e18-d393-4470-8b67-9616c62ec31f_ActionId">
    <vt:lpwstr>aa8a6956-033b-48c8-90b7-2321270dee2b</vt:lpwstr>
  </property>
  <property fmtid="{D5CDD505-2E9C-101B-9397-08002B2CF9AE}" pid="9" name="MSIP_Label_705c9e18-d393-4470-8b67-9616c62ec31f_Extended_MSFT_Method">
    <vt:lpwstr>Automatic</vt:lpwstr>
  </property>
  <property fmtid="{D5CDD505-2E9C-101B-9397-08002B2CF9AE}" pid="10" name="Sensitivity">
    <vt:lpwstr>Internal</vt:lpwstr>
  </property>
  <property fmtid="{D5CDD505-2E9C-101B-9397-08002B2CF9AE}" pid="11" name="ContentTypeId">
    <vt:lpwstr>0x01010039B5F88419B86F48B8165C8F5502B605</vt:lpwstr>
  </property>
  <property fmtid="{D5CDD505-2E9C-101B-9397-08002B2CF9AE}" pid="12" name="MediaServiceImageTags">
    <vt:lpwstr/>
  </property>
</Properties>
</file>